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Yearly Summary" sheetId="3" state="visible" r:id="rId5"/>
    <sheet name="Unit Economics" sheetId="4" state="visible" r:id="rId6"/>
    <sheet name="Optimum Path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<sst xmlns="http://schemas.openxmlformats.org/spreadsheetml/2006/main" count="353" uniqueCount="315">
  <si>
    <t xml:space="preserve">DecisionMesh — Financial Model Assumptions</t>
  </si>
  <si>
    <t xml:space="preserve">🔵 Blue text = input you can change  |  ⚫ Black text = calculated  |  Yellow bg = key assumption</t>
  </si>
  <si>
    <t xml:space="preserve">1. PRICING MODEL</t>
  </si>
  <si>
    <t xml:space="preserve">Tier</t>
  </si>
  <si>
    <t xml:space="preserve">Monthly Price ($)</t>
  </si>
  <si>
    <t xml:space="preserve">Credits / Month</t>
  </si>
  <si>
    <t xml:space="preserve">Notes</t>
  </si>
  <si>
    <t xml:space="preserve">Hobby (free)</t>
  </si>
  <si>
    <t xml:space="preserve">Capped at 200 users max — free tier</t>
  </si>
  <si>
    <t xml:space="preserve">Builder</t>
  </si>
  <si>
    <t xml:space="preserve">← Primary revenue driver; fits expense approval</t>
  </si>
  <si>
    <t xml:space="preserve">Pro</t>
  </si>
  <si>
    <t xml:space="preserve">5 team seats; multi-project</t>
  </si>
  <si>
    <t xml:space="preserve">Team</t>
  </si>
  <si>
    <t xml:space="preserve">10 seats; SSO; priority SLA</t>
  </si>
  <si>
    <t xml:space="preserve">2. LLM COST MODEL (per credit consumed)</t>
  </si>
  <si>
    <t xml:space="preserve">Model Tier</t>
  </si>
  <si>
    <t xml:space="preserve">Credits per Intent</t>
  </si>
  <si>
    <t xml:space="preserve">LLM Cost per Intent</t>
  </si>
  <si>
    <t xml:space="preserve">Effective Cost per Credit</t>
  </si>
  <si>
    <t xml:space="preserve">Economy (GPT-4o-mini / Haiku)</t>
  </si>
  <si>
    <t xml:space="preserve">Standard (GPT-4o / Sonnet)</t>
  </si>
  <si>
    <t xml:space="preserve">Premium (Claude Opus / GPT-4)</t>
  </si>
  <si>
    <t xml:space="preserve">Blended LLM cost per credit (conservative — mostly Economy)</t>
  </si>
  <si>
    <t xml:space="preserve">Revenue per credit ($0.008 = $8 per 1,000 cr)</t>
  </si>
  <si>
    <t xml:space="preserve">3. GROWTH &amp; CONVERSION ASSUMPTIONS</t>
  </si>
  <si>
    <t xml:space="preserve">Parameter</t>
  </si>
  <si>
    <t xml:space="preserve">Rate / Value</t>
  </si>
  <si>
    <t xml:space="preserve">Conservative</t>
  </si>
  <si>
    <t xml:space="preserve">Monthly new signups (Month 1)</t>
  </si>
  <si>
    <t xml:space="preserve">Organic: friends, social media, HN</t>
  </si>
  <si>
    <t xml:space="preserve">Monthly new signups (Month 12)</t>
  </si>
  <si>
    <t xml:space="preserve">SEO + referrals kicking in</t>
  </si>
  <si>
    <t xml:space="preserve">Monthly new signups (Month 24)</t>
  </si>
  <si>
    <t xml:space="preserve">Consistent content + referral flywheel</t>
  </si>
  <si>
    <t xml:space="preserve">Free → Builder conversion rate</t>
  </si>
  <si>
    <t xml:space="preserve">Industry avg for dev tools: 3–8%</t>
  </si>
  <si>
    <t xml:space="preserve">Builder → Pro upgrade (annual)</t>
  </si>
  <si>
    <t xml:space="preserve">Users who grow into multi-project</t>
  </si>
  <si>
    <t xml:space="preserve">Pro → Team upgrade (annual)</t>
  </si>
  <si>
    <t xml:space="preserve">Teams adding seats</t>
  </si>
  <si>
    <t xml:space="preserve">Hobby monthly churn</t>
  </si>
  <si>
    <t xml:space="preserve">High — free users disengage quickly</t>
  </si>
  <si>
    <t xml:space="preserve">Builder monthly churn</t>
  </si>
  <si>
    <t xml:space="preserve">Good B2B SaaS benchmark: 2–5%</t>
  </si>
  <si>
    <t xml:space="preserve">Pro monthly churn</t>
  </si>
  <si>
    <t xml:space="preserve">Higher stickiness at Pro level</t>
  </si>
  <si>
    <t xml:space="preserve">Team monthly churn</t>
  </si>
  <si>
    <t xml:space="preserve">Multi-seat — highest retention</t>
  </si>
  <si>
    <t xml:space="preserve">Hobby user hard cap (total)</t>
  </si>
  <si>
    <t xml:space="preserve">Safety cap — prevents free-tier abuse</t>
  </si>
  <si>
    <t xml:space="preserve">Credit pack attach rate (mo)</t>
  </si>
  <si>
    <t xml:space="preserve">% of paid users buying extra credits</t>
  </si>
  <si>
    <t xml:space="preserve">Avg credit pack purchase value</t>
  </si>
  <si>
    <t xml:space="preserve">$ — Growth pack default</t>
  </si>
  <si>
    <t xml:space="preserve">Registration gift cost ($)</t>
  </si>
  <si>
    <t xml:space="preserve">500 credits × $0.004 LLM cost</t>
  </si>
  <si>
    <t xml:space="preserve">4. INFRASTRUCTURE COST SCHEDULE (Fly.io stack)</t>
  </si>
  <si>
    <t xml:space="preserve">Period</t>
  </si>
  <si>
    <t xml:space="preserve">$/month</t>
  </si>
  <si>
    <t xml:space="preserve">Month range</t>
  </si>
  <si>
    <t xml:space="preserve">Components</t>
  </si>
  <si>
    <t xml:space="preserve">Month 1–3</t>
  </si>
  <si>
    <t xml:space="preserve">Fly.io API ($15) + Postgres ($5) + Keycloak ($5) + Redis free + Cloudflare Pages free</t>
  </si>
  <si>
    <t xml:space="preserve">Month 4–6</t>
  </si>
  <si>
    <t xml:space="preserve">Upgraded Fly.io + Redis paid tier</t>
  </si>
  <si>
    <t xml:space="preserve">Month 7–12</t>
  </si>
  <si>
    <t xml:space="preserve">Redundant instances, larger Postgres, backups</t>
  </si>
  <si>
    <t xml:space="preserve">Month 13–18</t>
  </si>
  <si>
    <t xml:space="preserve">Multi-region, CDN, monitoring stack</t>
  </si>
  <si>
    <t xml:space="preserve">Month 19–24</t>
  </si>
  <si>
    <t xml:space="preserve">Scaled infra for 500+ paid users</t>
  </si>
  <si>
    <t xml:space="preserve">5. STRIPE FEES</t>
  </si>
  <si>
    <t xml:space="preserve">Stripe % fee per transaction</t>
  </si>
  <si>
    <t xml:space="preserve">Stripe flat fee per transaction ($)</t>
  </si>
  <si>
    <t xml:space="preserve">DecisionMesh — 24-Month Monthly P&amp;L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</si>
  <si>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</si>
  <si>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</si>
  <si>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</si>
  <si>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</si>
  <si>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</si>
  <si>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</si>
  <si>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</si>
  <si>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</si>
  <si>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</si>
  <si>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</si>
  <si>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</si>
  <si>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</si>
  <si>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</si>
  <si>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</si>
  <si>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</si>
  <si>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</si>
  <si>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</si>
  <si>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</si>
  <si>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</si>
  <si>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</si>
  <si>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</si>
  <si>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</si>
  <si>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</si>
  <si>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</si>
  <si>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</si>
  <si>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New signups (organic)</t>
  </si>
  <si>
    <t xml:space="preserve">SUBSCRIBERS (end of month)</t>
  </si>
  <si>
    <t xml:space="preserve">  Hobby subscribers (free)</t>
  </si>
  <si>
    <t xml:space="preserve">  Builder subscribers ($19)</t>
  </si>
  <si>
    <t xml:space="preserve">  Pro subscribers ($49)</t>
  </si>
  <si>
    <t xml:space="preserve">  Team subscribers ($149)</t>
  </si>
  <si>
    <t xml:space="preserve">Total paid subscribers</t>
  </si>
  <si>
    <t xml:space="preserve">REVENUE ($)</t>
  </si>
  <si>
    <t xml:space="preserve">  Builder revenue</t>
  </si>
  <si>
    <t xml:space="preserve">  Pro revenue</t>
  </si>
  <si>
    <t xml:space="preserve">  Team revenue</t>
  </si>
  <si>
    <t xml:space="preserve">  Credit pack revenue</t>
  </si>
  <si>
    <t xml:space="preserve">TOTAL REVENUE</t>
  </si>
  <si>
    <t xml:space="preserve">COSTS ($)</t>
  </si>
  <si>
    <t xml:space="preserve">  LLM — Hobby users</t>
  </si>
  <si>
    <t xml:space="preserve">  LLM — Builder users</t>
  </si>
  <si>
    <t xml:space="preserve">  LLM — Pro users</t>
  </si>
  <si>
    <t xml:space="preserve">  LLM — Team users</t>
  </si>
  <si>
    <t xml:space="preserve">  LLM — Registration gifts</t>
  </si>
  <si>
    <t xml:space="preserve">  LLM — Credit pack credits</t>
  </si>
  <si>
    <t xml:space="preserve">Total LLM cost</t>
  </si>
  <si>
    <t xml:space="preserve">Infrastructure (Fly.io stack)</t>
  </si>
  <si>
    <t xml:space="preserve">Stripe transaction fees</t>
  </si>
  <si>
    <t xml:space="preserve">TOTAL COSTS</t>
  </si>
  <si>
    <t xml:space="preserve">PROFITABILITY ($)</t>
  </si>
  <si>
    <t xml:space="preserve">Gross profit (rev − LLM − Stripe)</t>
  </si>
  <si>
    <t xml:space="preserve">Gross margin %</t>
  </si>
  <si>
    <t xml:space="preserve">NET PROFIT / LOSS</t>
  </si>
  <si>
    <t xml:space="preserve">Cumulative net profit</t>
  </si>
  <si>
    <t xml:space="preserve">DecisionMesh — Annual P&amp;L Summary</t>
  </si>
  <si>
    <t xml:space="preserve">Year 1</t>
  </si>
  <si>
    <t xml:space="preserve">Year 2</t>
  </si>
  <si>
    <t xml:space="preserve">Y1 → Y2 Growth</t>
  </si>
  <si>
    <t xml:space="preserve">── SUBSCRIBERS (end of year) ──</t>
  </si>
  <si>
    <t xml:space="preserve">Capped at 200</t>
  </si>
  <si>
    <t xml:space="preserve">Builder ($19/mo)</t>
  </si>
  <si>
    <t xml:space="preserve">← Watch this number</t>
  </si>
  <si>
    <t xml:space="preserve">Pro ($49/mo)</t>
  </si>
  <si>
    <t xml:space="preserve">Team ($149/mo)</t>
  </si>
  <si>
    <t xml:space="preserve">── ANNUAL REVENUE ──</t>
  </si>
  <si>
    <t xml:space="preserve">Builder revenue</t>
  </si>
  <si>
    <t xml:space="preserve">Pro revenue</t>
  </si>
  <si>
    <t xml:space="preserve">Team revenue</t>
  </si>
  <si>
    <t xml:space="preserve">Credit pack sales</t>
  </si>
  <si>
    <t xml:space="preserve">5% of paid users × $25 avg</t>
  </si>
  <si>
    <t xml:space="preserve">TOTAL ANNUAL REVENUE</t>
  </si>
  <si>
    <t xml:space="preserve">── ANNUAL COSTS ──</t>
  </si>
  <si>
    <t xml:space="preserve">LLM costs (all tiers)</t>
  </si>
  <si>
    <t xml:space="preserve">~$0.004/credit blended</t>
  </si>
  <si>
    <t xml:space="preserve">Infrastructure</t>
  </si>
  <si>
    <t xml:space="preserve">Fly.io stack</t>
  </si>
  <si>
    <t xml:space="preserve">Stripe fees</t>
  </si>
  <si>
    <t xml:space="preserve">2.9% + $0.30/tx</t>
  </si>
  <si>
    <t xml:space="preserve">TOTAL ANNUAL COSTS</t>
  </si>
  <si>
    <t xml:space="preserve">── PROFITABILITY ──</t>
  </si>
  <si>
    <t xml:space="preserve">Gross profit</t>
  </si>
  <si>
    <t xml:space="preserve">After LLM + Stripe only</t>
  </si>
  <si>
    <t xml:space="preserve">Target: &gt;50%</t>
  </si>
  <si>
    <t xml:space="preserve">NET ANNUAL PROFIT / LOSS</t>
  </si>
  <si>
    <t xml:space="preserve">After all costs</t>
  </si>
  <si>
    <t xml:space="preserve">Month of break-even</t>
  </si>
  <si>
    <t xml:space="preserve">← First month cumulative net &gt; 0</t>
  </si>
  <si>
    <t xml:space="preserve">DecisionMesh — Unit Economics &amp; Optimum User Mix</t>
  </si>
  <si>
    <t xml:space="preserve">PER-SUBSCRIBER ECONOMICS (monthly)</t>
  </si>
  <si>
    <t xml:space="preserve">Price/mo</t>
  </si>
  <si>
    <t xml:space="preserve">LLM cost/mo</t>
  </si>
  <si>
    <t xml:space="preserve">Stripe fee</t>
  </si>
  <si>
    <t xml:space="preserve">Net/mo</t>
  </si>
  <si>
    <t xml:space="preserve">Gross margin</t>
  </si>
  <si>
    <t xml:space="preserve">LTV (18mo)</t>
  </si>
  <si>
    <t xml:space="preserve">LLM ÷ Revenue</t>
  </si>
  <si>
    <t xml:space="preserve">Builder $19</t>
  </si>
  <si>
    <t xml:space="preserve">Pro $49</t>
  </si>
  <si>
    <t xml:space="preserve">Team $149</t>
  </si>
  <si>
    <t xml:space="preserve">OPTIMUM USER MIX — monthly net profit by subscriber count</t>
  </si>
  <si>
    <t xml:space="preserve">Hobby</t>
  </si>
  <si>
    <t xml:space="preserve">Revenue/mo</t>
  </si>
  <si>
    <t xml:space="preserve">LLM cost</t>
  </si>
  <si>
    <t xml:space="preserve">Break-even?</t>
  </si>
  <si>
    <t xml:space="preserve">★  OPTIMUM TARGET: 10 Builder + 3 Pro + 1 Team = ~$155/mo net profit from Month 5</t>
  </si>
  <si>
    <t xml:space="preserve">DecisionMesh — Optimum User Mix Path to Profitability</t>
  </si>
  <si>
    <t xml:space="preserve">This sheet shows the exact user count targets per month needed to break even and reach $1k, $2k, $5k MRR milestones</t>
  </si>
  <si>
    <t xml:space="preserve">Month</t>
  </si>
  <si>
    <t xml:space="preserve">Hobby target</t>
  </si>
  <si>
    <t xml:space="preserve">Builder target</t>
  </si>
  <si>
    <t xml:space="preserve">Pro target</t>
  </si>
  <si>
    <t xml:space="preserve">Team target</t>
  </si>
  <si>
    <t xml:space="preserve">Target MRR</t>
  </si>
  <si>
    <t xml:space="preserve">Target net/mo</t>
  </si>
  <si>
    <t xml:space="preserve">Milestone</t>
  </si>
  <si>
    <t xml:space="preserve">$57</t>
  </si>
  <si>
    <t xml:space="preserve">$-20</t>
  </si>
  <si>
    <t xml:space="preserve">First paying customers</t>
  </si>
  <si>
    <t xml:space="preserve">$110</t>
  </si>
  <si>
    <t xml:space="preserve">$+15</t>
  </si>
  <si>
    <t xml:space="preserve">Cover infra costs</t>
  </si>
  <si>
    <t xml:space="preserve">$200</t>
  </si>
  <si>
    <t xml:space="preserve">$+70</t>
  </si>
  <si>
    <t xml:space="preserve">$336</t>
  </si>
  <si>
    <t xml:space="preserve">$+155</t>
  </si>
  <si>
    <t xml:space="preserve">★ BREAK-EVEN target</t>
  </si>
  <si>
    <t xml:space="preserve">$385</t>
  </si>
  <si>
    <t xml:space="preserve">$+190</t>
  </si>
  <si>
    <t xml:space="preserve">Consistent profit</t>
  </si>
  <si>
    <t xml:space="preserve">$584</t>
  </si>
  <si>
    <t xml:space="preserve">$+310</t>
  </si>
  <si>
    <t xml:space="preserve">$500+ MRR net</t>
  </si>
  <si>
    <t xml:space="preserve">$641</t>
  </si>
  <si>
    <t xml:space="preserve">$+355</t>
  </si>
  <si>
    <t xml:space="preserve">$875</t>
  </si>
  <si>
    <t xml:space="preserve">$+490</t>
  </si>
  <si>
    <t xml:space="preserve">$962</t>
  </si>
  <si>
    <t xml:space="preserve">$+540</t>
  </si>
  <si>
    <t xml:space="preserve">$1k MRR approaching</t>
  </si>
  <si>
    <t xml:space="preserve">$1,134</t>
  </si>
  <si>
    <t xml:space="preserve">$+650</t>
  </si>
  <si>
    <t xml:space="preserve">★ $1k net MRR</t>
  </si>
  <si>
    <t xml:space="preserve">$1,306</t>
  </si>
  <si>
    <t xml:space="preserve">$+760</t>
  </si>
  <si>
    <t xml:space="preserve">$1,385</t>
  </si>
  <si>
    <t xml:space="preserve">$+820</t>
  </si>
  <si>
    <t xml:space="preserve">End of Year 1</t>
  </si>
  <si>
    <t xml:space="preserve">$1,888</t>
  </si>
  <si>
    <t xml:space="preserve">$+1,150</t>
  </si>
  <si>
    <t xml:space="preserve">$2,182</t>
  </si>
  <si>
    <t xml:space="preserve">$+1,350</t>
  </si>
  <si>
    <t xml:space="preserve">$2,615</t>
  </si>
  <si>
    <t xml:space="preserve">$+1,650</t>
  </si>
  <si>
    <t xml:space="preserve">★ $2k net MRR</t>
  </si>
  <si>
    <t xml:space="preserve">$3,291</t>
  </si>
  <si>
    <t xml:space="preserve">$+2,100</t>
  </si>
  <si>
    <t xml:space="preserve">$3k MRR net</t>
  </si>
  <si>
    <t xml:space="preserve">$4,512</t>
  </si>
  <si>
    <t xml:space="preserve">$+2,900</t>
  </si>
  <si>
    <t xml:space="preserve">$5,960</t>
  </si>
  <si>
    <t xml:space="preserve">$+3,850</t>
  </si>
  <si>
    <t xml:space="preserve">★ $5k MRR net — real business</t>
  </si>
  <si>
    <t xml:space="preserve">KEY INSIGHT: Every additional Builder customer after break-even = +$10.50 net profit/month</t>
  </si>
  <si>
    <t xml:space="preserve">Builder net margin per user:</t>
  </si>
  <si>
    <t xml:space="preserve">DecisionMesh — 3-Scenario Analysis (Conservative / Base / Optimistic)</t>
  </si>
  <si>
    <t xml:space="preserve">Base Case</t>
  </si>
  <si>
    <t xml:space="preserve">Optimistic</t>
  </si>
  <si>
    <t xml:space="preserve">What drives it</t>
  </si>
  <si>
    <t xml:space="preserve">YEAR 1</t>
  </si>
  <si>
    <t xml:space="preserve">Paid subscribers end Y1</t>
  </si>
  <si>
    <t xml:space="preserve">Conversion rate × churn</t>
  </si>
  <si>
    <t xml:space="preserve">Annual revenue</t>
  </si>
  <si>
    <t xml:space="preserve">$3,100</t>
  </si>
  <si>
    <t xml:space="preserve">$5,600</t>
  </si>
  <si>
    <t xml:space="preserve">$9,800</t>
  </si>
  <si>
    <t xml:space="preserve">Builder MRR × 12 at avg count</t>
  </si>
  <si>
    <t xml:space="preserve">Annual LLM cost</t>
  </si>
  <si>
    <t xml:space="preserve">$1,800</t>
  </si>
  <si>
    <t xml:space="preserve">$2,800</t>
  </si>
  <si>
    <t xml:space="preserve">$4,200</t>
  </si>
  <si>
    <t xml:space="preserve">Proportional to credit usage</t>
  </si>
  <si>
    <t xml:space="preserve">Annual infrastructure</t>
  </si>
  <si>
    <t xml:space="preserve">$540</t>
  </si>
  <si>
    <t xml:space="preserve">$570</t>
  </si>
  <si>
    <t xml:space="preserve">$600</t>
  </si>
  <si>
    <t xml:space="preserve">Relatively fixed</t>
  </si>
  <si>
    <t xml:space="preserve">Annual net profit/loss</t>
  </si>
  <si>
    <t xml:space="preserve">($1,600)</t>
  </si>
  <si>
    <t xml:space="preserve">($1,050)</t>
  </si>
  <si>
    <t xml:space="preserve">$1,200</t>
  </si>
  <si>
    <t xml:space="preserve">Fixed costs dominate Y1</t>
  </si>
  <si>
    <t xml:space="preserve">Break-even month</t>
  </si>
  <si>
    <t xml:space="preserve">Earlier with higher conversion</t>
  </si>
  <si>
    <t xml:space="preserve">YEAR 2</t>
  </si>
  <si>
    <t xml:space="preserve">Paid subscribers end Y2</t>
  </si>
  <si>
    <t xml:space="preserve">Compounding from Y1 base</t>
  </si>
  <si>
    <t xml:space="preserve">$12,000</t>
  </si>
  <si>
    <t xml:space="preserve">$37,000</t>
  </si>
  <si>
    <t xml:space="preserve">$78,000</t>
  </si>
  <si>
    <t xml:space="preserve">Strong MRR by M24</t>
  </si>
  <si>
    <t xml:space="preserve">$5,500</t>
  </si>
  <si>
    <t xml:space="preserve">$10,500</t>
  </si>
  <si>
    <t xml:space="preserve">$22,000</t>
  </si>
  <si>
    <t xml:space="preserve">Scales with usage</t>
  </si>
  <si>
    <t xml:space="preserve">Annual net profit</t>
  </si>
  <si>
    <t xml:space="preserve">$3,200</t>
  </si>
  <si>
    <t xml:space="preserve">$6,000</t>
  </si>
  <si>
    <t xml:space="preserve">Infrastructure now small % of rev</t>
  </si>
  <si>
    <t xml:space="preserve">Month 24 MRR</t>
  </si>
  <si>
    <t xml:space="preserve">$1,400</t>
  </si>
  <si>
    <t xml:space="preserve">$3,800</t>
  </si>
  <si>
    <t xml:space="preserve">$9,200</t>
  </si>
  <si>
    <t xml:space="preserve">Run-rate annual = ×12</t>
  </si>
  <si>
    <t xml:space="preserve">Month 24 net margin</t>
  </si>
  <si>
    <t xml:space="preserve">45%</t>
  </si>
  <si>
    <t xml:space="preserve">52%</t>
  </si>
  <si>
    <t xml:space="preserve">61%</t>
  </si>
  <si>
    <t xml:space="preserve">Improves as fixed costs diluted</t>
  </si>
  <si>
    <t xml:space="preserve">SCENARIO DRIVER ASSUMPTIONS</t>
  </si>
  <si>
    <t xml:space="preserve">Monthly signup growth</t>
  </si>
  <si>
    <t xml:space="preserve">60% of base</t>
  </si>
  <si>
    <t xml:space="preserve">100% of base</t>
  </si>
  <si>
    <t xml:space="preserve">160% of base</t>
  </si>
  <si>
    <t xml:space="preserve">HN, PH, content reach</t>
  </si>
  <si>
    <t xml:space="preserve">Conversion rate adj.</t>
  </si>
  <si>
    <t xml:space="preserve">−30%</t>
  </si>
  <si>
    <t xml:space="preserve">As modelled</t>
  </si>
  <si>
    <t xml:space="preserve">+40%</t>
  </si>
  <si>
    <t xml:space="preserve">Onboarding quality</t>
  </si>
  <si>
    <t xml:space="preserve">Churn multiplier</t>
  </si>
  <si>
    <t xml:space="preserve">×1.4</t>
  </si>
  <si>
    <t xml:space="preserve">×1.0</t>
  </si>
  <si>
    <t xml:space="preserve">×0.7</t>
  </si>
  <si>
    <t xml:space="preserve">Product stickiness</t>
  </si>
  <si>
    <t xml:space="preserve">Credit pack attach</t>
  </si>
  <si>
    <t xml:space="preserve">3%/mo</t>
  </si>
  <si>
    <t xml:space="preserve">5%/mo</t>
  </si>
  <si>
    <t xml:space="preserve">8%/mo</t>
  </si>
  <si>
    <t xml:space="preserve">Upsell effectiveness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</si>
</sst>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#,##0"/>
    <numFmt numFmtId="167" formatCode="\$#,##0.000"/>
    <numFmt numFmtId="168" formatCode="\$#,##0.0000"/>
    <numFmt numFmtId="169" formatCode="0.0%"/>
    <numFmt numFmtId="170" formatCode="\$#,##0"/>
    <numFmt numFmtId="171" formatCode="\$#,##0;&quot;($&quot;#,##0\);\-"/>
    <numFmt numFmtId="172" formatCode="\+0.0%;\(0.0%\);\-"/>
    <numFmt numFmtId="173" formatCode="\$#,##0.00;&quot;($&quot;#,##0.00\);\-"/>
    <numFmt numFmtId="174" formatCode="0.0%;\(0.0%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3341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sz val="10"/>
      <color rgb="FF47556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i val="true"/>
      <sz val="9"/>
      <color rgb="FF94A3B8"/>
      <name val="Arial"/>
      <family val="0"/>
      <charset val="1"/>
    </font>
    <font>
      <sz val="10"/>
      <color rgb="FF2563EB"/>
      <name val="Arial"/>
      <family val="0"/>
      <charset val="1"/>
    </font>
    <font>
      <sz val="10"/>
      <color rgb="FF7C3AED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sz val="10"/>
      <color rgb="FF16A34A"/>
      <name val="Arial"/>
      <family val="0"/>
      <charset val="1"/>
    </font>
    <font>
      <sz val="10"/>
      <color rgb="FFD97706"/>
      <name val="Arial"/>
      <family val="0"/>
      <charset val="1"/>
    </font>
    <font>
      <i val="true"/>
      <sz val="9"/>
      <color rgb="FF475569"/>
      <name val="Arial"/>
      <family val="0"/>
      <charset val="1"/>
    </font>
    <font>
      <sz val="10"/>
      <color rgb="FF0F172A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9"/>
      <color rgb="FFD97706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2E8F0"/>
      </patternFill>
    </fill>
    <fill>
      <patternFill patternType="solid">
        <fgColor rgb="FF0F172A"/>
        <bgColor rgb="FF000000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F8FAFC"/>
      </patternFill>
    </fill>
    <fill>
      <patternFill patternType="solid">
        <fgColor rgb="FFFEF3C7"/>
        <bgColor rgb="FFFEE2E2"/>
      </patternFill>
    </fill>
    <fill>
      <patternFill patternType="solid">
        <fgColor rgb="FFEDE9FE"/>
        <bgColor rgb="FFE2E8F0"/>
      </patternFill>
    </fill>
    <fill>
      <patternFill patternType="solid">
        <fgColor rgb="FFDCFCE7"/>
        <bgColor rgb="FFF0FDF4"/>
      </patternFill>
    </fill>
    <fill>
      <patternFill patternType="solid">
        <fgColor rgb="FFF0FDF4"/>
        <bgColor rgb="FFF8FAFC"/>
      </patternFill>
    </fill>
    <fill>
      <patternFill patternType="solid">
        <fgColor rgb="FFFEE2E2"/>
        <bgColor rgb="FFEDE9FE"/>
      </patternFill>
    </fill>
    <fill>
      <patternFill patternType="solid">
        <fgColor rgb="FF334155"/>
        <bgColor rgb="FF1E3A5F"/>
      </patternFill>
    </fill>
    <fill>
      <patternFill patternType="solid">
        <fgColor rgb="FF2563EB"/>
        <bgColor rgb="FF0066CC"/>
      </patternFill>
    </fill>
    <fill>
      <patternFill patternType="solid">
        <fgColor rgb="FF7C3AED"/>
        <bgColor rgb="FF993366"/>
      </patternFill>
    </fill>
    <fill>
      <patternFill patternType="solid">
        <fgColor rgb="FF14532D"/>
        <bgColor rgb="FF334155"/>
      </patternFill>
    </fill>
    <fill>
      <patternFill patternType="solid">
        <fgColor rgb="FFD97706"/>
        <bgColor rgb="FFFF9900"/>
      </patternFill>
    </fill>
    <fill>
      <patternFill patternType="solid">
        <fgColor rgb="FF16A34A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medium">
        <color rgb="FF2563EB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medium">
        <color rgb="FF16A3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8FAFC"/>
      <rgbColor rgb="FFEFF6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475569"/>
      <rgbColor rgb="FF94A3B8"/>
      <rgbColor rgb="FF1E3A5F"/>
      <rgbColor rgb="FF16A34A"/>
      <rgbColor rgb="FF0F172A"/>
      <rgbColor rgb="FF14532D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  <col collapsed="false" customWidth="true" hidden="false" outlineLevel="0" max="4" min="4" style="1" width="40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  <c r="B6" s="7" t="n">
        <v>0</v>
      </c>
      <c r="C6" s="8" t="n">
        <v>500</v>
      </c>
      <c r="D6" s="9" t="s">
        <v>8</v>
      </c>
    </row>
    <row r="7" customFormat="false" ht="15" hidden="false" customHeight="true" outlineLevel="0" collapsed="false">
      <c r="A7" s="10" t="s">
        <v>9</v>
      </c>
      <c r="B7" s="11" t="n">
        <v>19</v>
      </c>
      <c r="C7" s="12" t="n">
        <v>2000</v>
      </c>
      <c r="D7" s="13" t="s">
        <v>10</v>
      </c>
    </row>
    <row r="8" customFormat="false" ht="15" hidden="false" customHeight="true" outlineLevel="0" collapsed="false">
      <c r="A8" s="6" t="s">
        <v>11</v>
      </c>
      <c r="B8" s="7" t="n">
        <v>49</v>
      </c>
      <c r="C8" s="8" t="n">
        <v>6000</v>
      </c>
      <c r="D8" s="13" t="s">
        <v>12</v>
      </c>
    </row>
    <row r="9" customFormat="false" ht="15" hidden="false" customHeight="true" outlineLevel="0" collapsed="false">
      <c r="A9" s="6" t="s">
        <v>13</v>
      </c>
      <c r="B9" s="7" t="n">
        <v>149</v>
      </c>
      <c r="C9" s="8" t="n">
        <v>20000</v>
      </c>
      <c r="D9" s="13" t="s">
        <v>14</v>
      </c>
    </row>
    <row r="11" customFormat="false" ht="15" hidden="false" customHeight="true" outlineLevel="0" collapsed="false">
      <c r="A11" s="4" t="s">
        <v>15</v>
      </c>
      <c r="B11" s="4"/>
      <c r="C11" s="4"/>
      <c r="D11" s="4"/>
    </row>
    <row r="12" customFormat="false" ht="15" hidden="false" customHeight="true" outlineLevel="0" collapsed="false">
      <c r="A12" s="5" t="s">
        <v>16</v>
      </c>
      <c r="B12" s="5" t="s">
        <v>17</v>
      </c>
      <c r="C12" s="5" t="s">
        <v>18</v>
      </c>
      <c r="D12" s="5" t="s">
        <v>19</v>
      </c>
    </row>
    <row r="13" customFormat="false" ht="15" hidden="false" customHeight="true" outlineLevel="0" collapsed="false">
      <c r="A13" s="6" t="s">
        <v>20</v>
      </c>
      <c r="B13" s="8" t="n">
        <v>1</v>
      </c>
      <c r="C13" s="14" t="n">
        <v>0.004</v>
      </c>
      <c r="D13" s="15" t="n">
        <f aca="false">C13/B13</f>
        <v>0.004</v>
      </c>
    </row>
    <row r="14" customFormat="false" ht="15" hidden="false" customHeight="true" outlineLevel="0" collapsed="false">
      <c r="A14" s="6" t="s">
        <v>21</v>
      </c>
      <c r="B14" s="8" t="n">
        <v>5</v>
      </c>
      <c r="C14" s="14" t="n">
        <v>0.018</v>
      </c>
      <c r="D14" s="15" t="n">
        <f aca="false">C14/B14</f>
        <v>0.0036</v>
      </c>
    </row>
    <row r="15" customFormat="false" ht="15" hidden="false" customHeight="true" outlineLevel="0" collapsed="false">
      <c r="A15" s="6" t="s">
        <v>22</v>
      </c>
      <c r="B15" s="8" t="n">
        <v>25</v>
      </c>
      <c r="C15" s="14" t="n">
        <v>0.11</v>
      </c>
      <c r="D15" s="15" t="n">
        <f aca="false">C15/B15</f>
        <v>0.0044</v>
      </c>
    </row>
    <row r="17" customFormat="false" ht="15" hidden="false" customHeight="true" outlineLevel="0" collapsed="false">
      <c r="A17" s="10" t="s">
        <v>23</v>
      </c>
      <c r="B17" s="16" t="n">
        <v>0.004</v>
      </c>
    </row>
    <row r="18" customFormat="false" ht="15" hidden="false" customHeight="true" outlineLevel="0" collapsed="false">
      <c r="A18" s="10" t="s">
        <v>24</v>
      </c>
      <c r="B18" s="16" t="n">
        <v>0.008</v>
      </c>
    </row>
    <row r="20" customFormat="false" ht="15" hidden="false" customHeight="true" outlineLevel="0" collapsed="false">
      <c r="A20" s="4" t="s">
        <v>25</v>
      </c>
      <c r="B20" s="4"/>
      <c r="C20" s="4"/>
      <c r="D20" s="4"/>
    </row>
    <row r="21" customFormat="false" ht="15" hidden="false" customHeight="true" outlineLevel="0" collapsed="false">
      <c r="A21" s="5" t="s">
        <v>26</v>
      </c>
      <c r="B21" s="5" t="s">
        <v>27</v>
      </c>
      <c r="C21" s="5" t="s">
        <v>28</v>
      </c>
      <c r="D21" s="5" t="s">
        <v>6</v>
      </c>
    </row>
    <row r="22" customFormat="false" ht="15" hidden="false" customHeight="true" outlineLevel="0" collapsed="false">
      <c r="A22" s="6" t="s">
        <v>29</v>
      </c>
      <c r="B22" s="12" t="n">
        <v>20</v>
      </c>
      <c r="C22" s="8" t="n">
        <v>12</v>
      </c>
      <c r="D22" s="9" t="s">
        <v>30</v>
      </c>
    </row>
    <row r="23" customFormat="false" ht="15" hidden="false" customHeight="true" outlineLevel="0" collapsed="false">
      <c r="A23" s="6" t="s">
        <v>31</v>
      </c>
      <c r="B23" s="12" t="n">
        <v>220</v>
      </c>
      <c r="C23" s="8" t="n">
        <v>140</v>
      </c>
      <c r="D23" s="9" t="s">
        <v>32</v>
      </c>
    </row>
    <row r="24" customFormat="false" ht="15" hidden="false" customHeight="true" outlineLevel="0" collapsed="false">
      <c r="A24" s="6" t="s">
        <v>33</v>
      </c>
      <c r="B24" s="12" t="n">
        <v>560</v>
      </c>
      <c r="C24" s="8" t="n">
        <v>350</v>
      </c>
      <c r="D24" s="9" t="s">
        <v>34</v>
      </c>
    </row>
    <row r="25" customFormat="false" ht="15" hidden="false" customHeight="true" outlineLevel="0" collapsed="false">
      <c r="A25" s="6" t="s">
        <v>35</v>
      </c>
      <c r="B25" s="17" t="n">
        <v>0.05</v>
      </c>
      <c r="C25" s="18" t="n">
        <v>0.03</v>
      </c>
      <c r="D25" s="9" t="s">
        <v>36</v>
      </c>
    </row>
    <row r="26" customFormat="false" ht="15" hidden="false" customHeight="true" outlineLevel="0" collapsed="false">
      <c r="A26" s="6" t="s">
        <v>37</v>
      </c>
      <c r="B26" s="17" t="n">
        <v>0.12</v>
      </c>
      <c r="C26" s="18" t="n">
        <v>0.08</v>
      </c>
      <c r="D26" s="9" t="s">
        <v>38</v>
      </c>
    </row>
    <row r="27" customFormat="false" ht="15" hidden="false" customHeight="true" outlineLevel="0" collapsed="false">
      <c r="A27" s="6" t="s">
        <v>39</v>
      </c>
      <c r="B27" s="17" t="n">
        <v>0.08</v>
      </c>
      <c r="C27" s="18" t="n">
        <v>0.05</v>
      </c>
      <c r="D27" s="9" t="s">
        <v>40</v>
      </c>
    </row>
    <row r="28" customFormat="false" ht="15" hidden="false" customHeight="true" outlineLevel="0" collapsed="false">
      <c r="A28" s="6" t="s">
        <v>41</v>
      </c>
      <c r="B28" s="17" t="n">
        <v>0.2</v>
      </c>
      <c r="C28" s="18" t="n">
        <v>0.25</v>
      </c>
      <c r="D28" s="9" t="s">
        <v>42</v>
      </c>
    </row>
    <row r="29" customFormat="false" ht="15" hidden="false" customHeight="true" outlineLevel="0" collapsed="false">
      <c r="A29" s="6" t="s">
        <v>43</v>
      </c>
      <c r="B29" s="17" t="n">
        <v>0.05</v>
      </c>
      <c r="C29" s="18" t="n">
        <v>0.07</v>
      </c>
      <c r="D29" s="9" t="s">
        <v>44</v>
      </c>
    </row>
    <row r="30" customFormat="false" ht="15" hidden="false" customHeight="true" outlineLevel="0" collapsed="false">
      <c r="A30" s="6" t="s">
        <v>45</v>
      </c>
      <c r="B30" s="17" t="n">
        <v>0.03</v>
      </c>
      <c r="C30" s="18" t="n">
        <v>0.05</v>
      </c>
      <c r="D30" s="9" t="s">
        <v>46</v>
      </c>
    </row>
    <row r="31" customFormat="false" ht="15" hidden="false" customHeight="true" outlineLevel="0" collapsed="false">
      <c r="A31" s="6" t="s">
        <v>47</v>
      </c>
      <c r="B31" s="17" t="n">
        <v>0.02</v>
      </c>
      <c r="C31" s="18" t="n">
        <v>0.03</v>
      </c>
      <c r="D31" s="9" t="s">
        <v>48</v>
      </c>
    </row>
    <row r="32" customFormat="false" ht="15" hidden="false" customHeight="true" outlineLevel="0" collapsed="false">
      <c r="A32" s="6" t="s">
        <v>49</v>
      </c>
      <c r="B32" s="12" t="n">
        <v>200</v>
      </c>
      <c r="C32" s="8" t="n">
        <v>150</v>
      </c>
      <c r="D32" s="9" t="s">
        <v>50</v>
      </c>
    </row>
    <row r="33" customFormat="false" ht="15" hidden="false" customHeight="true" outlineLevel="0" collapsed="false">
      <c r="A33" s="6" t="s">
        <v>51</v>
      </c>
      <c r="B33" s="17" t="n">
        <v>0.05</v>
      </c>
      <c r="C33" s="18" t="n">
        <v>0.03</v>
      </c>
      <c r="D33" s="9" t="s">
        <v>52</v>
      </c>
    </row>
    <row r="34" customFormat="false" ht="15" hidden="false" customHeight="true" outlineLevel="0" collapsed="false">
      <c r="A34" s="6" t="s">
        <v>53</v>
      </c>
      <c r="B34" s="11" t="n">
        <v>25</v>
      </c>
      <c r="C34" s="7" t="n">
        <v>15</v>
      </c>
      <c r="D34" s="9" t="s">
        <v>54</v>
      </c>
    </row>
    <row r="35" customFormat="false" ht="15" hidden="false" customHeight="true" outlineLevel="0" collapsed="false">
      <c r="A35" s="6" t="s">
        <v>55</v>
      </c>
      <c r="B35" s="11" t="n">
        <v>2</v>
      </c>
      <c r="C35" s="7" t="n">
        <v>2</v>
      </c>
      <c r="D35" s="9" t="s">
        <v>56</v>
      </c>
    </row>
    <row r="37" customFormat="false" ht="15" hidden="false" customHeight="true" outlineLevel="0" collapsed="false">
      <c r="A37" s="4" t="s">
        <v>57</v>
      </c>
      <c r="B37" s="4"/>
      <c r="C37" s="4"/>
      <c r="D37" s="4"/>
    </row>
    <row r="38" customFormat="false" ht="15" hidden="false" customHeight="true" outlineLevel="0" collapsed="false">
      <c r="A38" s="5" t="s">
        <v>58</v>
      </c>
      <c r="B38" s="5" t="s">
        <v>59</v>
      </c>
      <c r="C38" s="5" t="s">
        <v>60</v>
      </c>
      <c r="D38" s="5" t="s">
        <v>61</v>
      </c>
    </row>
    <row r="39" customFormat="false" ht="15" hidden="false" customHeight="true" outlineLevel="0" collapsed="false">
      <c r="A39" s="6" t="s">
        <v>62</v>
      </c>
      <c r="B39" s="19" t="n">
        <v>35</v>
      </c>
      <c r="D39" s="9" t="s">
        <v>63</v>
      </c>
    </row>
    <row r="40" customFormat="false" ht="15" hidden="false" customHeight="true" outlineLevel="0" collapsed="false">
      <c r="A40" s="6" t="s">
        <v>64</v>
      </c>
      <c r="B40" s="19" t="n">
        <v>50</v>
      </c>
      <c r="D40" s="9" t="s">
        <v>65</v>
      </c>
    </row>
    <row r="41" customFormat="false" ht="15" hidden="false" customHeight="true" outlineLevel="0" collapsed="false">
      <c r="A41" s="6" t="s">
        <v>66</v>
      </c>
      <c r="B41" s="19" t="n">
        <v>70</v>
      </c>
      <c r="D41" s="9" t="s">
        <v>67</v>
      </c>
    </row>
    <row r="42" customFormat="false" ht="15" hidden="false" customHeight="true" outlineLevel="0" collapsed="false">
      <c r="A42" s="6" t="s">
        <v>68</v>
      </c>
      <c r="B42" s="19" t="n">
        <v>100</v>
      </c>
      <c r="D42" s="9" t="s">
        <v>69</v>
      </c>
    </row>
    <row r="43" customFormat="false" ht="15" hidden="false" customHeight="true" outlineLevel="0" collapsed="false">
      <c r="A43" s="6" t="s">
        <v>70</v>
      </c>
      <c r="B43" s="19" t="n">
        <v>130</v>
      </c>
      <c r="D43" s="9" t="s">
        <v>71</v>
      </c>
    </row>
    <row r="45" customFormat="false" ht="15" hidden="false" customHeight="true" outlineLevel="0" collapsed="false">
      <c r="A45" s="4" t="s">
        <v>72</v>
      </c>
      <c r="B45" s="4"/>
      <c r="C45" s="4"/>
      <c r="D45" s="4"/>
    </row>
    <row r="46" customFormat="false" ht="15" hidden="false" customHeight="true" outlineLevel="0" collapsed="false">
      <c r="A46" s="6" t="s">
        <v>73</v>
      </c>
      <c r="B46" s="17" t="n">
        <v>0.029</v>
      </c>
    </row>
    <row r="47" customFormat="false" ht="15" hidden="false" customHeight="true" outlineLevel="0" collapsed="false">
      <c r="A47" s="6" t="s">
        <v>74</v>
      </c>
      <c r="B47" s="11" t="n">
        <v>0.3</v>
      </c>
    </row>
    <row r="48" customFormat="false" ht="9.75" hidden="false" customHeight="true" outlineLevel="0" collapsed="false"/>
  </sheetData>
  <mergeCells count="7">
    <mergeCell ref="A1:D1"/>
    <mergeCell ref="A2:D2"/>
    <mergeCell ref="A4:D4"/>
    <mergeCell ref="A11:D11"/>
    <mergeCell ref="A20:D20"/>
    <mergeCell ref="A37:D37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6" min="2" style="1" width="11"/>
  </cols>
  <sheetData>
    <row r="1" customFormat="false" ht="31.5" hidden="false" customHeight="true" outlineLevel="0" collapsed="false">
      <c r="A1" s="20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3" customFormat="false" ht="15" hidden="false" customHeight="true" outlineLevel="0" collapsed="false">
      <c r="A3" s="21" t="s">
        <v>76</v>
      </c>
      <c r="B3" s="22" t="s">
        <v>77</v>
      </c>
      <c r="C3" s="22" t="s">
        <v>78</v>
      </c>
      <c r="D3" s="22" t="s">
        <v>79</v>
      </c>
      <c r="E3" s="22" t="s">
        <v>80</v>
      </c>
      <c r="F3" s="22" t="s">
        <v>81</v>
      </c>
      <c r="G3" s="22" t="s">
        <v>82</v>
      </c>
      <c r="H3" s="22" t="s">
        <v>83</v>
      </c>
      <c r="I3" s="22" t="s">
        <v>84</v>
      </c>
      <c r="J3" s="22" t="s">
        <v>85</v>
      </c>
      <c r="K3" s="22" t="s">
        <v>86</v>
      </c>
      <c r="L3" s="22" t="s">
        <v>87</v>
      </c>
      <c r="M3" s="22" t="s">
        <v>88</v>
      </c>
      <c r="N3" s="22" t="s">
        <v>89</v>
      </c>
      <c r="O3" s="22" t="s">
        <v>90</v>
      </c>
      <c r="P3" s="22" t="s">
        <v>91</v>
      </c>
      <c r="Q3" s="22" t="s">
        <v>92</v>
      </c>
      <c r="R3" s="22" t="s">
        <v>93</v>
      </c>
      <c r="S3" s="22" t="s">
        <v>94</v>
      </c>
      <c r="T3" s="22" t="s">
        <v>95</v>
      </c>
      <c r="U3" s="22" t="s">
        <v>96</v>
      </c>
      <c r="V3" s="22" t="s">
        <v>97</v>
      </c>
      <c r="W3" s="22" t="s">
        <v>98</v>
      </c>
      <c r="X3" s="22" t="s">
        <v>99</v>
      </c>
      <c r="Y3" s="22" t="s">
        <v>100</v>
      </c>
    </row>
    <row r="5" customFormat="false" ht="18" hidden="false" customHeight="true" outlineLevel="0" collapsed="false">
      <c r="A5" s="6" t="s">
        <v>101</v>
      </c>
      <c r="B5" s="12" t="n">
        <v>20</v>
      </c>
      <c r="C5" s="12" t="n">
        <v>30</v>
      </c>
      <c r="D5" s="12" t="n">
        <v>45</v>
      </c>
      <c r="E5" s="12" t="n">
        <v>60</v>
      </c>
      <c r="F5" s="12" t="n">
        <v>80</v>
      </c>
      <c r="G5" s="12" t="n">
        <v>100</v>
      </c>
      <c r="H5" s="12" t="n">
        <v>120</v>
      </c>
      <c r="I5" s="12" t="n">
        <v>140</v>
      </c>
      <c r="J5" s="12" t="n">
        <v>160</v>
      </c>
      <c r="K5" s="12" t="n">
        <v>180</v>
      </c>
      <c r="L5" s="12" t="n">
        <v>200</v>
      </c>
      <c r="M5" s="12" t="n">
        <v>220</v>
      </c>
      <c r="N5" s="12" t="n">
        <v>240</v>
      </c>
      <c r="O5" s="12" t="n">
        <v>260</v>
      </c>
      <c r="P5" s="12" t="n">
        <v>280</v>
      </c>
      <c r="Q5" s="12" t="n">
        <v>300</v>
      </c>
      <c r="R5" s="12" t="n">
        <v>330</v>
      </c>
      <c r="S5" s="12" t="n">
        <v>360</v>
      </c>
      <c r="T5" s="12" t="n">
        <v>390</v>
      </c>
      <c r="U5" s="12" t="n">
        <v>420</v>
      </c>
      <c r="V5" s="12" t="n">
        <v>450</v>
      </c>
      <c r="W5" s="12" t="n">
        <v>480</v>
      </c>
      <c r="X5" s="12" t="n">
        <v>520</v>
      </c>
      <c r="Y5" s="12" t="n">
        <v>560</v>
      </c>
    </row>
    <row r="6" customFormat="false" ht="21.75" hidden="false" customHeight="true" outlineLevel="0" collapsed="false">
      <c r="A6" s="4" t="s">
        <v>102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8" hidden="false" customHeight="true" outlineLevel="0" collapsed="false">
      <c r="A7" s="13" t="s">
        <v>103</v>
      </c>
      <c r="B7" s="23" t="n">
        <f aca="false">MIN(Assumptions!B32, ROUND(B5*Assumptions!B25*0.5, 0))</f>
        <v>1</v>
      </c>
      <c r="C7" s="23" t="n">
        <f aca="false">MIN(Assumptions!B32, ROUND(B7*(1-Assumptions!B28)+C5*Assumptions!B25*0.5, 0))</f>
        <v>2</v>
      </c>
      <c r="D7" s="23" t="n">
        <f aca="false">MIN(Assumptions!B32, ROUND(C7*(1-Assumptions!B28)+D5*Assumptions!B25*0.5, 0))</f>
        <v>3</v>
      </c>
      <c r="E7" s="23" t="n">
        <f aca="false">MIN(Assumptions!B32, ROUND(D7*(1-Assumptions!B28)+E5*Assumptions!B25*0.5, 0))</f>
        <v>4</v>
      </c>
      <c r="F7" s="23" t="n">
        <f aca="false">MIN(Assumptions!B32, ROUND(E7*(1-Assumptions!B28)+F5*Assumptions!B25*0.5, 0))</f>
        <v>5</v>
      </c>
      <c r="G7" s="23" t="n">
        <f aca="false">MIN(Assumptions!B32, ROUND(F7*(1-Assumptions!B28)+G5*Assumptions!B25*0.5, 0))</f>
        <v>7</v>
      </c>
      <c r="H7" s="23" t="n">
        <f aca="false">MIN(Assumptions!B32, ROUND(G7*(1-Assumptions!B28)+H5*Assumptions!B25*0.5, 0))</f>
        <v>9</v>
      </c>
      <c r="I7" s="23" t="n">
        <f aca="false">MIN(Assumptions!B32, ROUND(H7*(1-Assumptions!B28)+I5*Assumptions!B25*0.5, 0))</f>
        <v>11</v>
      </c>
      <c r="J7" s="23" t="n">
        <f aca="false">MIN(Assumptions!B32, ROUND(I7*(1-Assumptions!B28)+J5*Assumptions!B25*0.5, 0))</f>
        <v>13</v>
      </c>
      <c r="K7" s="23" t="n">
        <f aca="false">MIN(Assumptions!B32, ROUND(J7*(1-Assumptions!B28)+K5*Assumptions!B25*0.5, 0))</f>
        <v>15</v>
      </c>
      <c r="L7" s="23" t="n">
        <f aca="false">MIN(Assumptions!B32, ROUND(K7*(1-Assumptions!B28)+L5*Assumptions!B25*0.5, 0))</f>
        <v>17</v>
      </c>
      <c r="M7" s="23" t="n">
        <f aca="false">MIN(Assumptions!B32, ROUND(L7*(1-Assumptions!B28)+M5*Assumptions!B25*0.5, 0))</f>
        <v>19</v>
      </c>
      <c r="N7" s="23" t="n">
        <f aca="false">MIN(Assumptions!B32, ROUND(M7*(1-Assumptions!B28)+N5*Assumptions!B25*0.5, 0))</f>
        <v>21</v>
      </c>
      <c r="O7" s="23" t="n">
        <f aca="false">MIN(Assumptions!B32, ROUND(N7*(1-Assumptions!B28)+O5*Assumptions!B25*0.5, 0))</f>
        <v>23</v>
      </c>
      <c r="P7" s="23" t="n">
        <f aca="false">MIN(Assumptions!B32, ROUND(O7*(1-Assumptions!B28)+P5*Assumptions!B25*0.5, 0))</f>
        <v>25</v>
      </c>
      <c r="Q7" s="23" t="n">
        <f aca="false">MIN(Assumptions!B32, ROUND(P7*(1-Assumptions!B28)+Q5*Assumptions!B25*0.5, 0))</f>
        <v>28</v>
      </c>
      <c r="R7" s="23" t="n">
        <f aca="false">MIN(Assumptions!B32, ROUND(Q7*(1-Assumptions!B28)+R5*Assumptions!B25*0.5, 0))</f>
        <v>31</v>
      </c>
      <c r="S7" s="23" t="n">
        <f aca="false">MIN(Assumptions!B32, ROUND(R7*(1-Assumptions!B28)+S5*Assumptions!B25*0.5, 0))</f>
        <v>34</v>
      </c>
      <c r="T7" s="23" t="n">
        <f aca="false">MIN(Assumptions!B32, ROUND(S7*(1-Assumptions!B28)+T5*Assumptions!B25*0.5, 0))</f>
        <v>37</v>
      </c>
      <c r="U7" s="23" t="n">
        <f aca="false">MIN(Assumptions!B32, ROUND(T7*(1-Assumptions!B28)+U5*Assumptions!B25*0.5, 0))</f>
        <v>40</v>
      </c>
      <c r="V7" s="23" t="n">
        <f aca="false">MIN(Assumptions!B32, ROUND(U7*(1-Assumptions!B28)+V5*Assumptions!B25*0.5, 0))</f>
        <v>43</v>
      </c>
      <c r="W7" s="23" t="n">
        <f aca="false">MIN(Assumptions!B32, ROUND(V7*(1-Assumptions!B28)+W5*Assumptions!B25*0.5, 0))</f>
        <v>46</v>
      </c>
      <c r="X7" s="23" t="n">
        <f aca="false">MIN(Assumptions!B32, ROUND(W7*(1-Assumptions!B28)+X5*Assumptions!B25*0.5, 0))</f>
        <v>50</v>
      </c>
      <c r="Y7" s="23" t="n">
        <f aca="false">MIN(Assumptions!B32, ROUND(X7*(1-Assumptions!B28)+Y5*Assumptions!B25*0.5, 0))</f>
        <v>54</v>
      </c>
    </row>
    <row r="8" customFormat="false" ht="18" hidden="false" customHeight="true" outlineLevel="0" collapsed="false">
      <c r="A8" s="24" t="s">
        <v>104</v>
      </c>
      <c r="B8" s="25" t="n">
        <f aca="false">ROUND(B5*Assumptions!B25, 0)</f>
        <v>1</v>
      </c>
      <c r="C8" s="25" t="n">
        <f aca="false">MAX(0, ROUND(B8*(1-Assumptions!B29)+C5*Assumptions!B25, 0))</f>
        <v>2</v>
      </c>
      <c r="D8" s="25" t="n">
        <f aca="false">MAX(0, ROUND(C8*(1-Assumptions!B29)+D5*Assumptions!B25, 0))</f>
        <v>4</v>
      </c>
      <c r="E8" s="25" t="n">
        <f aca="false">MAX(0, ROUND(D8*(1-Assumptions!B29)+E5*Assumptions!B25, 0))</f>
        <v>7</v>
      </c>
      <c r="F8" s="25" t="n">
        <f aca="false">MAX(0, ROUND(E8*(1-Assumptions!B29)+F5*Assumptions!B25, 0))</f>
        <v>11</v>
      </c>
      <c r="G8" s="25" t="n">
        <f aca="false">MAX(0, ROUND(F8*(1-Assumptions!B29)+G5*Assumptions!B25, 0))</f>
        <v>15</v>
      </c>
      <c r="H8" s="25" t="n">
        <f aca="false">MAX(0, ROUND(G8*(1-Assumptions!B29)+H5*Assumptions!B25, 0))</f>
        <v>20</v>
      </c>
      <c r="I8" s="25" t="n">
        <f aca="false">MAX(0, ROUND(H8*(1-Assumptions!B29)+I5*Assumptions!B25, 0))</f>
        <v>26</v>
      </c>
      <c r="J8" s="25" t="n">
        <f aca="false">MAX(0, ROUND(I8*(1-Assumptions!B29)+J5*Assumptions!B25, 0))</f>
        <v>33</v>
      </c>
      <c r="K8" s="25" t="n">
        <f aca="false">MAX(0, ROUND(J8*(1-Assumptions!B29)+K5*Assumptions!B25, 0))</f>
        <v>40</v>
      </c>
      <c r="L8" s="25" t="n">
        <f aca="false">MAX(0, ROUND(K8*(1-Assumptions!B29)+L5*Assumptions!B25, 0))</f>
        <v>48</v>
      </c>
      <c r="M8" s="25" t="n">
        <f aca="false">MAX(0, ROUND(L8*(1-Assumptions!B29)+M5*Assumptions!B25, 0))</f>
        <v>57</v>
      </c>
      <c r="N8" s="25" t="n">
        <f aca="false">MAX(0, ROUND(M8*(1-Assumptions!B29)+N5*Assumptions!B25, 0))</f>
        <v>66</v>
      </c>
      <c r="O8" s="25" t="n">
        <f aca="false">MAX(0, ROUND(N8*(1-Assumptions!B29)+O5*Assumptions!B25, 0))</f>
        <v>76</v>
      </c>
      <c r="P8" s="25" t="n">
        <f aca="false">MAX(0, ROUND(O8*(1-Assumptions!B29)+P5*Assumptions!B25, 0))</f>
        <v>86</v>
      </c>
      <c r="Q8" s="25" t="n">
        <f aca="false">MAX(0, ROUND(P8*(1-Assumptions!B29)+Q5*Assumptions!B25, 0))</f>
        <v>97</v>
      </c>
      <c r="R8" s="25" t="n">
        <f aca="false">MAX(0, ROUND(Q8*(1-Assumptions!B29)+R5*Assumptions!B25, 0))</f>
        <v>109</v>
      </c>
      <c r="S8" s="25" t="n">
        <f aca="false">MAX(0, ROUND(R8*(1-Assumptions!B29)+S5*Assumptions!B25, 0))</f>
        <v>122</v>
      </c>
      <c r="T8" s="25" t="n">
        <f aca="false">MAX(0, ROUND(S8*(1-Assumptions!B29)+T5*Assumptions!B25, 0))</f>
        <v>135</v>
      </c>
      <c r="U8" s="25" t="n">
        <f aca="false">MAX(0, ROUND(T8*(1-Assumptions!B29)+U5*Assumptions!B25, 0))</f>
        <v>149</v>
      </c>
      <c r="V8" s="25" t="n">
        <f aca="false">MAX(0, ROUND(U8*(1-Assumptions!B29)+V5*Assumptions!B25, 0))</f>
        <v>164</v>
      </c>
      <c r="W8" s="25" t="n">
        <f aca="false">MAX(0, ROUND(V8*(1-Assumptions!B29)+W5*Assumptions!B25, 0))</f>
        <v>180</v>
      </c>
      <c r="X8" s="25" t="n">
        <f aca="false">MAX(0, ROUND(W8*(1-Assumptions!B29)+X5*Assumptions!B25, 0))</f>
        <v>197</v>
      </c>
      <c r="Y8" s="25" t="n">
        <f aca="false">MAX(0, ROUND(X8*(1-Assumptions!B29)+Y5*Assumptions!B25, 0))</f>
        <v>215</v>
      </c>
    </row>
    <row r="9" customFormat="false" ht="18" hidden="false" customHeight="true" outlineLevel="0" collapsed="false">
      <c r="A9" s="26" t="s">
        <v>105</v>
      </c>
      <c r="B9" s="27" t="n">
        <f aca="false">0</f>
        <v>0</v>
      </c>
      <c r="C9" s="27" t="n">
        <f aca="false">MAX(0, ROUND(B9*(1-Assumptions!B30)+ROUND(B8*Assumptions!B26/12, 0)-ROUND(B9*Assumptions!B27/12, 0), 0))</f>
        <v>0</v>
      </c>
      <c r="D9" s="27" t="n">
        <f aca="false">MAX(0, ROUND(C9*(1-Assumptions!B30)+ROUND(C8*Assumptions!B26/12, 0)-ROUND(C9*Assumptions!B27/12, 0), 0))</f>
        <v>0</v>
      </c>
      <c r="E9" s="27" t="n">
        <f aca="false">MAX(0, ROUND(D9*(1-Assumptions!B30)+ROUND(D8*Assumptions!B26/12, 0)-ROUND(D9*Assumptions!B27/12, 0), 0))</f>
        <v>0</v>
      </c>
      <c r="F9" s="27" t="n">
        <f aca="false">MAX(0, ROUND(E9*(1-Assumptions!B30)+ROUND(E8*Assumptions!B26/12, 0)-ROUND(E9*Assumptions!B27/12, 0), 0))</f>
        <v>0</v>
      </c>
      <c r="G9" s="27" t="n">
        <f aca="false">MAX(0, ROUND(F9*(1-Assumptions!B30)+ROUND(F8*Assumptions!B26/12, 0)-ROUND(F9*Assumptions!B27/12, 0), 0))</f>
        <v>0</v>
      </c>
      <c r="H9" s="27" t="n">
        <f aca="false">MAX(0, ROUND(G9*(1-Assumptions!B30)+ROUND(G8*Assumptions!B26/12, 0)-ROUND(G9*Assumptions!B27/12, 0), 0))</f>
        <v>0</v>
      </c>
      <c r="I9" s="27" t="n">
        <f aca="false">MAX(0, ROUND(H9*(1-Assumptions!B30)+ROUND(H8*Assumptions!B26/12, 0)-ROUND(H9*Assumptions!B27/12, 0), 0))</f>
        <v>0</v>
      </c>
      <c r="J9" s="27" t="n">
        <f aca="false">MAX(0, ROUND(I9*(1-Assumptions!B30)+ROUND(I8*Assumptions!B26/12, 0)-ROUND(I9*Assumptions!B27/12, 0), 0))</f>
        <v>0</v>
      </c>
      <c r="K9" s="27" t="n">
        <f aca="false">MAX(0, ROUND(J9*(1-Assumptions!B30)+ROUND(J8*Assumptions!B26/12, 0)-ROUND(J9*Assumptions!B27/12, 0), 0))</f>
        <v>0</v>
      </c>
      <c r="L9" s="27" t="n">
        <f aca="false">MAX(0, ROUND(K9*(1-Assumptions!B30)+ROUND(K8*Assumptions!B26/12, 0)-ROUND(K9*Assumptions!B27/12, 0), 0))</f>
        <v>0</v>
      </c>
      <c r="M9" s="27" t="n">
        <f aca="false">MAX(0, ROUND(L9*(1-Assumptions!B30)+ROUND(L8*Assumptions!B26/12, 0)-ROUND(L9*Assumptions!B27/12, 0), 0))</f>
        <v>0</v>
      </c>
      <c r="N9" s="27" t="n">
        <f aca="false">MAX(0, ROUND(M9*(1-Assumptions!B30)+ROUND(M8*Assumptions!B26/12, 0)-ROUND(M9*Assumptions!B27/12, 0), 0))</f>
        <v>1</v>
      </c>
      <c r="O9" s="27" t="n">
        <f aca="false">MAX(0, ROUND(N9*(1-Assumptions!B30)+ROUND(N8*Assumptions!B26/12, 0)-ROUND(N9*Assumptions!B27/12, 0), 0))</f>
        <v>2</v>
      </c>
      <c r="P9" s="27" t="n">
        <f aca="false">MAX(0, ROUND(O9*(1-Assumptions!B30)+ROUND(O8*Assumptions!B26/12, 0)-ROUND(O9*Assumptions!B27/12, 0), 0))</f>
        <v>3</v>
      </c>
      <c r="Q9" s="27" t="n">
        <f aca="false">MAX(0, ROUND(P9*(1-Assumptions!B30)+ROUND(P8*Assumptions!B26/12, 0)-ROUND(P9*Assumptions!B27/12, 0), 0))</f>
        <v>4</v>
      </c>
      <c r="R9" s="27" t="n">
        <f aca="false">MAX(0, ROUND(Q9*(1-Assumptions!B30)+ROUND(Q8*Assumptions!B26/12, 0)-ROUND(Q9*Assumptions!B27/12, 0), 0))</f>
        <v>5</v>
      </c>
      <c r="S9" s="27" t="n">
        <f aca="false">MAX(0, ROUND(R9*(1-Assumptions!B30)+ROUND(R8*Assumptions!B26/12, 0)-ROUND(R9*Assumptions!B27/12, 0), 0))</f>
        <v>6</v>
      </c>
      <c r="T9" s="27" t="n">
        <f aca="false">MAX(0, ROUND(S9*(1-Assumptions!B30)+ROUND(S8*Assumptions!B26/12, 0)-ROUND(S9*Assumptions!B27/12, 0), 0))</f>
        <v>7</v>
      </c>
      <c r="U9" s="27" t="n">
        <f aca="false">MAX(0, ROUND(T9*(1-Assumptions!B30)+ROUND(T8*Assumptions!B26/12, 0)-ROUND(T9*Assumptions!B27/12, 0), 0))</f>
        <v>8</v>
      </c>
      <c r="V9" s="27" t="n">
        <f aca="false">MAX(0, ROUND(U9*(1-Assumptions!B30)+ROUND(U8*Assumptions!B26/12, 0)-ROUND(U9*Assumptions!B27/12, 0), 0))</f>
        <v>9</v>
      </c>
      <c r="W9" s="27" t="n">
        <f aca="false">MAX(0, ROUND(V9*(1-Assumptions!B30)+ROUND(V8*Assumptions!B26/12, 0)-ROUND(V9*Assumptions!B27/12, 0), 0))</f>
        <v>11</v>
      </c>
      <c r="X9" s="27" t="n">
        <f aca="false">MAX(0, ROUND(W9*(1-Assumptions!B30)+ROUND(W8*Assumptions!B26/12, 0)-ROUND(W9*Assumptions!B27/12, 0), 0))</f>
        <v>13</v>
      </c>
      <c r="Y9" s="27" t="n">
        <f aca="false">MAX(0, ROUND(X9*(1-Assumptions!B30)+ROUND(X8*Assumptions!B26/12, 0)-ROUND(X9*Assumptions!B27/12, 0), 0))</f>
        <v>15</v>
      </c>
    </row>
    <row r="10" customFormat="false" ht="18" hidden="false" customHeight="true" outlineLevel="0" collapsed="false">
      <c r="A10" s="10" t="s">
        <v>106</v>
      </c>
      <c r="B10" s="28" t="n">
        <f aca="false">0</f>
        <v>0</v>
      </c>
      <c r="C10" s="28" t="n">
        <f aca="false">MAX(0, ROUND(B10*(1-Assumptions!B31)+ROUND(B9*Assumptions!B27/12, 0), 0))</f>
        <v>0</v>
      </c>
      <c r="D10" s="28" t="n">
        <f aca="false">MAX(0, ROUND(C10*(1-Assumptions!B31)+ROUND(C9*Assumptions!B27/12, 0), 0))</f>
        <v>0</v>
      </c>
      <c r="E10" s="28" t="n">
        <f aca="false">MAX(0, ROUND(D10*(1-Assumptions!B31)+ROUND(D9*Assumptions!B27/12, 0), 0))</f>
        <v>0</v>
      </c>
      <c r="F10" s="28" t="n">
        <f aca="false">MAX(0, ROUND(E10*(1-Assumptions!B31)+ROUND(E9*Assumptions!B27/12, 0), 0))</f>
        <v>0</v>
      </c>
      <c r="G10" s="28" t="n">
        <f aca="false">MAX(0, ROUND(F10*(1-Assumptions!B31)+ROUND(F9*Assumptions!B27/12, 0), 0))</f>
        <v>0</v>
      </c>
      <c r="H10" s="28" t="n">
        <f aca="false">MAX(0, ROUND(G10*(1-Assumptions!B31)+ROUND(G9*Assumptions!B27/12, 0), 0))</f>
        <v>0</v>
      </c>
      <c r="I10" s="28" t="n">
        <f aca="false">MAX(0, ROUND(H10*(1-Assumptions!B31)+ROUND(H9*Assumptions!B27/12, 0), 0))</f>
        <v>0</v>
      </c>
      <c r="J10" s="28" t="n">
        <f aca="false">MAX(0, ROUND(I10*(1-Assumptions!B31)+ROUND(I9*Assumptions!B27/12, 0), 0))</f>
        <v>0</v>
      </c>
      <c r="K10" s="28" t="n">
        <f aca="false">MAX(0, ROUND(J10*(1-Assumptions!B31)+ROUND(J9*Assumptions!B27/12, 0), 0))</f>
        <v>0</v>
      </c>
      <c r="L10" s="28" t="n">
        <f aca="false">MAX(0, ROUND(K10*(1-Assumptions!B31)+ROUND(K9*Assumptions!B27/12, 0), 0))</f>
        <v>0</v>
      </c>
      <c r="M10" s="28" t="n">
        <f aca="false">MAX(0, ROUND(L10*(1-Assumptions!B31)+ROUND(L9*Assumptions!B27/12, 0), 0))</f>
        <v>0</v>
      </c>
      <c r="N10" s="28" t="n">
        <f aca="false">MAX(0, ROUND(M10*(1-Assumptions!B31)+ROUND(M9*Assumptions!B27/12, 0), 0))</f>
        <v>0</v>
      </c>
      <c r="O10" s="28" t="n">
        <f aca="false">MAX(0, ROUND(N10*(1-Assumptions!B31)+ROUND(N9*Assumptions!B27/12, 0), 0))</f>
        <v>0</v>
      </c>
      <c r="P10" s="28" t="n">
        <f aca="false">MAX(0, ROUND(O10*(1-Assumptions!B31)+ROUND(O9*Assumptions!B27/12, 0), 0))</f>
        <v>0</v>
      </c>
      <c r="Q10" s="28" t="n">
        <f aca="false">MAX(0, ROUND(P10*(1-Assumptions!B31)+ROUND(P9*Assumptions!B27/12, 0), 0))</f>
        <v>0</v>
      </c>
      <c r="R10" s="28" t="n">
        <f aca="false">MAX(0, ROUND(Q10*(1-Assumptions!B31)+ROUND(Q9*Assumptions!B27/12, 0), 0))</f>
        <v>0</v>
      </c>
      <c r="S10" s="28" t="n">
        <f aca="false">MAX(0, ROUND(R10*(1-Assumptions!B31)+ROUND(R9*Assumptions!B27/12, 0), 0))</f>
        <v>0</v>
      </c>
      <c r="T10" s="28" t="n">
        <f aca="false">MAX(0, ROUND(S10*(1-Assumptions!B31)+ROUND(S9*Assumptions!B27/12, 0), 0))</f>
        <v>0</v>
      </c>
      <c r="U10" s="28" t="n">
        <f aca="false">MAX(0, ROUND(T10*(1-Assumptions!B31)+ROUND(T9*Assumptions!B27/12, 0), 0))</f>
        <v>0</v>
      </c>
      <c r="V10" s="28" t="n">
        <f aca="false">MAX(0, ROUND(U10*(1-Assumptions!B31)+ROUND(U9*Assumptions!B27/12, 0), 0))</f>
        <v>0</v>
      </c>
      <c r="W10" s="28" t="n">
        <f aca="false">MAX(0, ROUND(V10*(1-Assumptions!B31)+ROUND(V9*Assumptions!B27/12, 0), 0))</f>
        <v>0</v>
      </c>
      <c r="X10" s="28" t="n">
        <f aca="false">MAX(0, ROUND(W10*(1-Assumptions!B31)+ROUND(W9*Assumptions!B27/12, 0), 0))</f>
        <v>0</v>
      </c>
      <c r="Y10" s="28" t="n">
        <f aca="false">MAX(0, ROUND(X10*(1-Assumptions!B31)+ROUND(X9*Assumptions!B27/12, 0), 0))</f>
        <v>0</v>
      </c>
    </row>
    <row r="11" customFormat="false" ht="18" hidden="false" customHeight="true" outlineLevel="0" collapsed="false">
      <c r="A11" s="29" t="s">
        <v>107</v>
      </c>
      <c r="B11" s="30" t="n">
        <f aca="false">B8+B9+B10</f>
        <v>1</v>
      </c>
      <c r="C11" s="30" t="n">
        <f aca="false">C8+C9+C10</f>
        <v>2</v>
      </c>
      <c r="D11" s="30" t="n">
        <f aca="false">D8+D9+D10</f>
        <v>4</v>
      </c>
      <c r="E11" s="30" t="n">
        <f aca="false">E8+E9+E10</f>
        <v>7</v>
      </c>
      <c r="F11" s="30" t="n">
        <f aca="false">F8+F9+F10</f>
        <v>11</v>
      </c>
      <c r="G11" s="30" t="n">
        <f aca="false">G8+G9+G10</f>
        <v>15</v>
      </c>
      <c r="H11" s="30" t="n">
        <f aca="false">H8+H9+H10</f>
        <v>20</v>
      </c>
      <c r="I11" s="30" t="n">
        <f aca="false">I8+I9+I10</f>
        <v>26</v>
      </c>
      <c r="J11" s="30" t="n">
        <f aca="false">J8+J9+J10</f>
        <v>33</v>
      </c>
      <c r="K11" s="30" t="n">
        <f aca="false">K8+K9+K10</f>
        <v>40</v>
      </c>
      <c r="L11" s="30" t="n">
        <f aca="false">L8+L9+L10</f>
        <v>48</v>
      </c>
      <c r="M11" s="30" t="n">
        <f aca="false">M8+M9+M10</f>
        <v>57</v>
      </c>
      <c r="N11" s="30" t="n">
        <f aca="false">N8+N9+N10</f>
        <v>67</v>
      </c>
      <c r="O11" s="30" t="n">
        <f aca="false">O8+O9+O10</f>
        <v>78</v>
      </c>
      <c r="P11" s="30" t="n">
        <f aca="false">P8+P9+P10</f>
        <v>89</v>
      </c>
      <c r="Q11" s="30" t="n">
        <f aca="false">Q8+Q9+Q10</f>
        <v>101</v>
      </c>
      <c r="R11" s="30" t="n">
        <f aca="false">R8+R9+R10</f>
        <v>114</v>
      </c>
      <c r="S11" s="30" t="n">
        <f aca="false">S8+S9+S10</f>
        <v>128</v>
      </c>
      <c r="T11" s="30" t="n">
        <f aca="false">T8+T9+T10</f>
        <v>142</v>
      </c>
      <c r="U11" s="30" t="n">
        <f aca="false">U8+U9+U10</f>
        <v>157</v>
      </c>
      <c r="V11" s="30" t="n">
        <f aca="false">V8+V9+V10</f>
        <v>173</v>
      </c>
      <c r="W11" s="30" t="n">
        <f aca="false">W8+W9+W10</f>
        <v>191</v>
      </c>
      <c r="X11" s="30" t="n">
        <f aca="false">X8+X9+X10</f>
        <v>210</v>
      </c>
      <c r="Y11" s="30" t="n">
        <f aca="false">Y8+Y9+Y10</f>
        <v>230</v>
      </c>
    </row>
    <row r="13" customFormat="false" ht="21.75" hidden="false" customHeight="true" outlineLevel="0" collapsed="false">
      <c r="A13" s="4" t="s">
        <v>108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8" hidden="false" customHeight="true" outlineLevel="0" collapsed="false">
      <c r="A14" s="6" t="s">
        <v>109</v>
      </c>
      <c r="B14" s="31" t="n">
        <f aca="false">B8*Assumptions!B7</f>
        <v>19</v>
      </c>
      <c r="C14" s="31" t="n">
        <f aca="false">C8*Assumptions!B7</f>
        <v>38</v>
      </c>
      <c r="D14" s="31" t="n">
        <f aca="false">D8*Assumptions!B7</f>
        <v>76</v>
      </c>
      <c r="E14" s="31" t="n">
        <f aca="false">E8*Assumptions!B7</f>
        <v>133</v>
      </c>
      <c r="F14" s="31" t="n">
        <f aca="false">F8*Assumptions!B7</f>
        <v>209</v>
      </c>
      <c r="G14" s="31" t="n">
        <f aca="false">G8*Assumptions!B7</f>
        <v>285</v>
      </c>
      <c r="H14" s="31" t="n">
        <f aca="false">H8*Assumptions!B7</f>
        <v>380</v>
      </c>
      <c r="I14" s="31" t="n">
        <f aca="false">I8*Assumptions!B7</f>
        <v>494</v>
      </c>
      <c r="J14" s="31" t="n">
        <f aca="false">J8*Assumptions!B7</f>
        <v>627</v>
      </c>
      <c r="K14" s="31" t="n">
        <f aca="false">K8*Assumptions!B7</f>
        <v>760</v>
      </c>
      <c r="L14" s="31" t="n">
        <f aca="false">L8*Assumptions!B7</f>
        <v>912</v>
      </c>
      <c r="M14" s="31" t="n">
        <f aca="false">M8*Assumptions!B7</f>
        <v>1083</v>
      </c>
      <c r="N14" s="31" t="n">
        <f aca="false">N8*Assumptions!B7</f>
        <v>1254</v>
      </c>
      <c r="O14" s="31" t="n">
        <f aca="false">O8*Assumptions!B7</f>
        <v>1444</v>
      </c>
      <c r="P14" s="31" t="n">
        <f aca="false">P8*Assumptions!B7</f>
        <v>1634</v>
      </c>
      <c r="Q14" s="31" t="n">
        <f aca="false">Q8*Assumptions!B7</f>
        <v>1843</v>
      </c>
      <c r="R14" s="31" t="n">
        <f aca="false">R8*Assumptions!B7</f>
        <v>2071</v>
      </c>
      <c r="S14" s="31" t="n">
        <f aca="false">S8*Assumptions!B7</f>
        <v>2318</v>
      </c>
      <c r="T14" s="31" t="n">
        <f aca="false">T8*Assumptions!B7</f>
        <v>2565</v>
      </c>
      <c r="U14" s="31" t="n">
        <f aca="false">U8*Assumptions!B7</f>
        <v>2831</v>
      </c>
      <c r="V14" s="31" t="n">
        <f aca="false">V8*Assumptions!B7</f>
        <v>3116</v>
      </c>
      <c r="W14" s="31" t="n">
        <f aca="false">W8*Assumptions!B7</f>
        <v>3420</v>
      </c>
      <c r="X14" s="31" t="n">
        <f aca="false">X8*Assumptions!B7</f>
        <v>3743</v>
      </c>
      <c r="Y14" s="31" t="n">
        <f aca="false">Y8*Assumptions!B7</f>
        <v>4085</v>
      </c>
    </row>
    <row r="15" customFormat="false" ht="18" hidden="false" customHeight="true" outlineLevel="0" collapsed="false">
      <c r="A15" s="6" t="s">
        <v>110</v>
      </c>
      <c r="B15" s="31" t="n">
        <f aca="false">B9*Assumptions!B8</f>
        <v>0</v>
      </c>
      <c r="C15" s="31" t="n">
        <f aca="false">C9*Assumptions!B8</f>
        <v>0</v>
      </c>
      <c r="D15" s="31" t="n">
        <f aca="false">D9*Assumptions!B8</f>
        <v>0</v>
      </c>
      <c r="E15" s="31" t="n">
        <f aca="false">E9*Assumptions!B8</f>
        <v>0</v>
      </c>
      <c r="F15" s="31" t="n">
        <f aca="false">F9*Assumptions!B8</f>
        <v>0</v>
      </c>
      <c r="G15" s="31" t="n">
        <f aca="false">G9*Assumptions!B8</f>
        <v>0</v>
      </c>
      <c r="H15" s="31" t="n">
        <f aca="false">H9*Assumptions!B8</f>
        <v>0</v>
      </c>
      <c r="I15" s="31" t="n">
        <f aca="false">I9*Assumptions!B8</f>
        <v>0</v>
      </c>
      <c r="J15" s="31" t="n">
        <f aca="false">J9*Assumptions!B8</f>
        <v>0</v>
      </c>
      <c r="K15" s="31" t="n">
        <f aca="false">K9*Assumptions!B8</f>
        <v>0</v>
      </c>
      <c r="L15" s="31" t="n">
        <f aca="false">L9*Assumptions!B8</f>
        <v>0</v>
      </c>
      <c r="M15" s="31" t="n">
        <f aca="false">M9*Assumptions!B8</f>
        <v>0</v>
      </c>
      <c r="N15" s="31" t="n">
        <f aca="false">N9*Assumptions!B8</f>
        <v>49</v>
      </c>
      <c r="O15" s="31" t="n">
        <f aca="false">O9*Assumptions!B8</f>
        <v>98</v>
      </c>
      <c r="P15" s="31" t="n">
        <f aca="false">P9*Assumptions!B8</f>
        <v>147</v>
      </c>
      <c r="Q15" s="31" t="n">
        <f aca="false">Q9*Assumptions!B8</f>
        <v>196</v>
      </c>
      <c r="R15" s="31" t="n">
        <f aca="false">R9*Assumptions!B8</f>
        <v>245</v>
      </c>
      <c r="S15" s="31" t="n">
        <f aca="false">S9*Assumptions!B8</f>
        <v>294</v>
      </c>
      <c r="T15" s="31" t="n">
        <f aca="false">T9*Assumptions!B8</f>
        <v>343</v>
      </c>
      <c r="U15" s="31" t="n">
        <f aca="false">U9*Assumptions!B8</f>
        <v>392</v>
      </c>
      <c r="V15" s="31" t="n">
        <f aca="false">V9*Assumptions!B8</f>
        <v>441</v>
      </c>
      <c r="W15" s="31" t="n">
        <f aca="false">W9*Assumptions!B8</f>
        <v>539</v>
      </c>
      <c r="X15" s="31" t="n">
        <f aca="false">X9*Assumptions!B8</f>
        <v>637</v>
      </c>
      <c r="Y15" s="31" t="n">
        <f aca="false">Y9*Assumptions!B8</f>
        <v>735</v>
      </c>
    </row>
    <row r="16" customFormat="false" ht="18" hidden="false" customHeight="true" outlineLevel="0" collapsed="false">
      <c r="A16" s="6" t="s">
        <v>111</v>
      </c>
      <c r="B16" s="31" t="n">
        <f aca="false">B10*Assumptions!B9</f>
        <v>0</v>
      </c>
      <c r="C16" s="31" t="n">
        <f aca="false">C10*Assumptions!B9</f>
        <v>0</v>
      </c>
      <c r="D16" s="31" t="n">
        <f aca="false">D10*Assumptions!B9</f>
        <v>0</v>
      </c>
      <c r="E16" s="31" t="n">
        <f aca="false">E10*Assumptions!B9</f>
        <v>0</v>
      </c>
      <c r="F16" s="31" t="n">
        <f aca="false">F10*Assumptions!B9</f>
        <v>0</v>
      </c>
      <c r="G16" s="31" t="n">
        <f aca="false">G10*Assumptions!B9</f>
        <v>0</v>
      </c>
      <c r="H16" s="31" t="n">
        <f aca="false">H10*Assumptions!B9</f>
        <v>0</v>
      </c>
      <c r="I16" s="31" t="n">
        <f aca="false">I10*Assumptions!B9</f>
        <v>0</v>
      </c>
      <c r="J16" s="31" t="n">
        <f aca="false">J10*Assumptions!B9</f>
        <v>0</v>
      </c>
      <c r="K16" s="31" t="n">
        <f aca="false">K10*Assumptions!B9</f>
        <v>0</v>
      </c>
      <c r="L16" s="31" t="n">
        <f aca="false">L10*Assumptions!B9</f>
        <v>0</v>
      </c>
      <c r="M16" s="31" t="n">
        <f aca="false">M10*Assumptions!B9</f>
        <v>0</v>
      </c>
      <c r="N16" s="31" t="n">
        <f aca="false">N10*Assumptions!B9</f>
        <v>0</v>
      </c>
      <c r="O16" s="31" t="n">
        <f aca="false">O10*Assumptions!B9</f>
        <v>0</v>
      </c>
      <c r="P16" s="31" t="n">
        <f aca="false">P10*Assumptions!B9</f>
        <v>0</v>
      </c>
      <c r="Q16" s="31" t="n">
        <f aca="false">Q10*Assumptions!B9</f>
        <v>0</v>
      </c>
      <c r="R16" s="31" t="n">
        <f aca="false">R10*Assumptions!B9</f>
        <v>0</v>
      </c>
      <c r="S16" s="31" t="n">
        <f aca="false">S10*Assumptions!B9</f>
        <v>0</v>
      </c>
      <c r="T16" s="31" t="n">
        <f aca="false">T10*Assumptions!B9</f>
        <v>0</v>
      </c>
      <c r="U16" s="31" t="n">
        <f aca="false">U10*Assumptions!B9</f>
        <v>0</v>
      </c>
      <c r="V16" s="31" t="n">
        <f aca="false">V10*Assumptions!B9</f>
        <v>0</v>
      </c>
      <c r="W16" s="31" t="n">
        <f aca="false">W10*Assumptions!B9</f>
        <v>0</v>
      </c>
      <c r="X16" s="31" t="n">
        <f aca="false">X10*Assumptions!B9</f>
        <v>0</v>
      </c>
      <c r="Y16" s="31" t="n">
        <f aca="false">Y10*Assumptions!B9</f>
        <v>0</v>
      </c>
    </row>
    <row r="17" customFormat="false" ht="18" hidden="false" customHeight="true" outlineLevel="0" collapsed="false">
      <c r="A17" s="13" t="s">
        <v>112</v>
      </c>
      <c r="B17" s="31" t="n">
        <f aca="false">B11*Assumptions!B33*Assumptions!B34</f>
        <v>1.25</v>
      </c>
      <c r="C17" s="31" t="n">
        <f aca="false">C11*Assumptions!B33*Assumptions!B34</f>
        <v>2.5</v>
      </c>
      <c r="D17" s="31" t="n">
        <f aca="false">D11*Assumptions!B33*Assumptions!B34</f>
        <v>5</v>
      </c>
      <c r="E17" s="31" t="n">
        <f aca="false">E11*Assumptions!B33*Assumptions!B34</f>
        <v>8.75</v>
      </c>
      <c r="F17" s="31" t="n">
        <f aca="false">F11*Assumptions!B33*Assumptions!B34</f>
        <v>13.75</v>
      </c>
      <c r="G17" s="31" t="n">
        <f aca="false">G11*Assumptions!B33*Assumptions!B34</f>
        <v>18.75</v>
      </c>
      <c r="H17" s="31" t="n">
        <f aca="false">H11*Assumptions!B33*Assumptions!B34</f>
        <v>25</v>
      </c>
      <c r="I17" s="31" t="n">
        <f aca="false">I11*Assumptions!B33*Assumptions!B34</f>
        <v>32.5</v>
      </c>
      <c r="J17" s="31" t="n">
        <f aca="false">J11*Assumptions!B33*Assumptions!B34</f>
        <v>41.25</v>
      </c>
      <c r="K17" s="31" t="n">
        <f aca="false">K11*Assumptions!B33*Assumptions!B34</f>
        <v>50</v>
      </c>
      <c r="L17" s="31" t="n">
        <f aca="false">L11*Assumptions!B33*Assumptions!B34</f>
        <v>60</v>
      </c>
      <c r="M17" s="31" t="n">
        <f aca="false">M11*Assumptions!B33*Assumptions!B34</f>
        <v>71.25</v>
      </c>
      <c r="N17" s="31" t="n">
        <f aca="false">N11*Assumptions!B33*Assumptions!B34</f>
        <v>83.75</v>
      </c>
      <c r="O17" s="31" t="n">
        <f aca="false">O11*Assumptions!B33*Assumptions!B34</f>
        <v>97.5</v>
      </c>
      <c r="P17" s="31" t="n">
        <f aca="false">P11*Assumptions!B33*Assumptions!B34</f>
        <v>111.25</v>
      </c>
      <c r="Q17" s="31" t="n">
        <f aca="false">Q11*Assumptions!B33*Assumptions!B34</f>
        <v>126.25</v>
      </c>
      <c r="R17" s="31" t="n">
        <f aca="false">R11*Assumptions!B33*Assumptions!B34</f>
        <v>142.5</v>
      </c>
      <c r="S17" s="31" t="n">
        <f aca="false">S11*Assumptions!B33*Assumptions!B34</f>
        <v>160</v>
      </c>
      <c r="T17" s="31" t="n">
        <f aca="false">T11*Assumptions!B33*Assumptions!B34</f>
        <v>177.5</v>
      </c>
      <c r="U17" s="31" t="n">
        <f aca="false">U11*Assumptions!B33*Assumptions!B34</f>
        <v>196.25</v>
      </c>
      <c r="V17" s="31" t="n">
        <f aca="false">V11*Assumptions!B33*Assumptions!B34</f>
        <v>216.25</v>
      </c>
      <c r="W17" s="31" t="n">
        <f aca="false">W11*Assumptions!B33*Assumptions!B34</f>
        <v>238.75</v>
      </c>
      <c r="X17" s="31" t="n">
        <f aca="false">X11*Assumptions!B33*Assumptions!B34</f>
        <v>262.5</v>
      </c>
      <c r="Y17" s="31" t="n">
        <f aca="false">Y11*Assumptions!B33*Assumptions!B34</f>
        <v>287.5</v>
      </c>
    </row>
    <row r="18" customFormat="false" ht="18" hidden="false" customHeight="true" outlineLevel="0" collapsed="false">
      <c r="A18" s="29" t="s">
        <v>113</v>
      </c>
      <c r="B18" s="32" t="n">
        <f aca="false">B14+B15+B16+B17</f>
        <v>20.25</v>
      </c>
      <c r="C18" s="32" t="n">
        <f aca="false">C14+C15+C16+C17</f>
        <v>40.5</v>
      </c>
      <c r="D18" s="32" t="n">
        <f aca="false">D14+D15+D16+D17</f>
        <v>81</v>
      </c>
      <c r="E18" s="32" t="n">
        <f aca="false">E14+E15+E16+E17</f>
        <v>141.75</v>
      </c>
      <c r="F18" s="32" t="n">
        <f aca="false">F14+F15+F16+F17</f>
        <v>222.75</v>
      </c>
      <c r="G18" s="32" t="n">
        <f aca="false">G14+G15+G16+G17</f>
        <v>303.75</v>
      </c>
      <c r="H18" s="32" t="n">
        <f aca="false">H14+H15+H16+H17</f>
        <v>405</v>
      </c>
      <c r="I18" s="32" t="n">
        <f aca="false">I14+I15+I16+I17</f>
        <v>526.5</v>
      </c>
      <c r="J18" s="32" t="n">
        <f aca="false">J14+J15+J16+J17</f>
        <v>668.25</v>
      </c>
      <c r="K18" s="32" t="n">
        <f aca="false">K14+K15+K16+K17</f>
        <v>810</v>
      </c>
      <c r="L18" s="32" t="n">
        <f aca="false">L14+L15+L16+L17</f>
        <v>972</v>
      </c>
      <c r="M18" s="32" t="n">
        <f aca="false">M14+M15+M16+M17</f>
        <v>1154.25</v>
      </c>
      <c r="N18" s="32" t="n">
        <f aca="false">N14+N15+N16+N17</f>
        <v>1386.75</v>
      </c>
      <c r="O18" s="32" t="n">
        <f aca="false">O14+O15+O16+O17</f>
        <v>1639.5</v>
      </c>
      <c r="P18" s="32" t="n">
        <f aca="false">P14+P15+P16+P17</f>
        <v>1892.25</v>
      </c>
      <c r="Q18" s="32" t="n">
        <f aca="false">Q14+Q15+Q16+Q17</f>
        <v>2165.25</v>
      </c>
      <c r="R18" s="32" t="n">
        <f aca="false">R14+R15+R16+R17</f>
        <v>2458.5</v>
      </c>
      <c r="S18" s="32" t="n">
        <f aca="false">S14+S15+S16+S17</f>
        <v>2772</v>
      </c>
      <c r="T18" s="32" t="n">
        <f aca="false">T14+T15+T16+T17</f>
        <v>3085.5</v>
      </c>
      <c r="U18" s="32" t="n">
        <f aca="false">U14+U15+U16+U17</f>
        <v>3419.25</v>
      </c>
      <c r="V18" s="32" t="n">
        <f aca="false">V14+V15+V16+V17</f>
        <v>3773.25</v>
      </c>
      <c r="W18" s="32" t="n">
        <f aca="false">W14+W15+W16+W17</f>
        <v>4197.75</v>
      </c>
      <c r="X18" s="32" t="n">
        <f aca="false">X14+X15+X16+X17</f>
        <v>4642.5</v>
      </c>
      <c r="Y18" s="32" t="n">
        <f aca="false">Y14+Y15+Y16+Y17</f>
        <v>5107.5</v>
      </c>
    </row>
    <row r="20" customFormat="false" ht="21.75" hidden="false" customHeight="true" outlineLevel="0" collapsed="false">
      <c r="A20" s="4" t="s">
        <v>114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8" hidden="false" customHeight="true" outlineLevel="0" collapsed="false">
      <c r="A21" s="13" t="s">
        <v>115</v>
      </c>
      <c r="B21" s="31" t="n">
        <f aca="false">B7*Assumptions!C6*Assumptions!B17</f>
        <v>2</v>
      </c>
      <c r="C21" s="31" t="n">
        <f aca="false">C7*Assumptions!C6*Assumptions!B17</f>
        <v>4</v>
      </c>
      <c r="D21" s="31" t="n">
        <f aca="false">D7*Assumptions!C6*Assumptions!B17</f>
        <v>6</v>
      </c>
      <c r="E21" s="31" t="n">
        <f aca="false">E7*Assumptions!C6*Assumptions!B17</f>
        <v>8</v>
      </c>
      <c r="F21" s="31" t="n">
        <f aca="false">F7*Assumptions!C6*Assumptions!B17</f>
        <v>10</v>
      </c>
      <c r="G21" s="31" t="n">
        <f aca="false">G7*Assumptions!C6*Assumptions!B17</f>
        <v>14</v>
      </c>
      <c r="H21" s="31" t="n">
        <f aca="false">H7*Assumptions!C6*Assumptions!B17</f>
        <v>18</v>
      </c>
      <c r="I21" s="31" t="n">
        <f aca="false">I7*Assumptions!C6*Assumptions!B17</f>
        <v>22</v>
      </c>
      <c r="J21" s="31" t="n">
        <f aca="false">J7*Assumptions!C6*Assumptions!B17</f>
        <v>26</v>
      </c>
      <c r="K21" s="31" t="n">
        <f aca="false">K7*Assumptions!C6*Assumptions!B17</f>
        <v>30</v>
      </c>
      <c r="L21" s="31" t="n">
        <f aca="false">L7*Assumptions!C6*Assumptions!B17</f>
        <v>34</v>
      </c>
      <c r="M21" s="31" t="n">
        <f aca="false">M7*Assumptions!C6*Assumptions!B17</f>
        <v>38</v>
      </c>
      <c r="N21" s="31" t="n">
        <f aca="false">N7*Assumptions!C6*Assumptions!B17</f>
        <v>42</v>
      </c>
      <c r="O21" s="31" t="n">
        <f aca="false">O7*Assumptions!C6*Assumptions!B17</f>
        <v>46</v>
      </c>
      <c r="P21" s="31" t="n">
        <f aca="false">P7*Assumptions!C6*Assumptions!B17</f>
        <v>50</v>
      </c>
      <c r="Q21" s="31" t="n">
        <f aca="false">Q7*Assumptions!C6*Assumptions!B17</f>
        <v>56</v>
      </c>
      <c r="R21" s="31" t="n">
        <f aca="false">R7*Assumptions!C6*Assumptions!B17</f>
        <v>62</v>
      </c>
      <c r="S21" s="31" t="n">
        <f aca="false">S7*Assumptions!C6*Assumptions!B17</f>
        <v>68</v>
      </c>
      <c r="T21" s="31" t="n">
        <f aca="false">T7*Assumptions!C6*Assumptions!B17</f>
        <v>74</v>
      </c>
      <c r="U21" s="31" t="n">
        <f aca="false">U7*Assumptions!C6*Assumptions!B17</f>
        <v>80</v>
      </c>
      <c r="V21" s="31" t="n">
        <f aca="false">V7*Assumptions!C6*Assumptions!B17</f>
        <v>86</v>
      </c>
      <c r="W21" s="31" t="n">
        <f aca="false">W7*Assumptions!C6*Assumptions!B17</f>
        <v>92</v>
      </c>
      <c r="X21" s="31" t="n">
        <f aca="false">X7*Assumptions!C6*Assumptions!B17</f>
        <v>100</v>
      </c>
      <c r="Y21" s="31" t="n">
        <f aca="false">Y7*Assumptions!C6*Assumptions!B17</f>
        <v>108</v>
      </c>
    </row>
    <row r="22" customFormat="false" ht="18" hidden="false" customHeight="true" outlineLevel="0" collapsed="false">
      <c r="A22" s="13" t="s">
        <v>116</v>
      </c>
      <c r="B22" s="31" t="n">
        <f aca="false">B8*Assumptions!C7*Assumptions!B17</f>
        <v>8</v>
      </c>
      <c r="C22" s="31" t="n">
        <f aca="false">C8*Assumptions!C7*Assumptions!B17</f>
        <v>16</v>
      </c>
      <c r="D22" s="31" t="n">
        <f aca="false">D8*Assumptions!C7*Assumptions!B17</f>
        <v>32</v>
      </c>
      <c r="E22" s="31" t="n">
        <f aca="false">E8*Assumptions!C7*Assumptions!B17</f>
        <v>56</v>
      </c>
      <c r="F22" s="31" t="n">
        <f aca="false">F8*Assumptions!C7*Assumptions!B17</f>
        <v>88</v>
      </c>
      <c r="G22" s="31" t="n">
        <f aca="false">G8*Assumptions!C7*Assumptions!B17</f>
        <v>120</v>
      </c>
      <c r="H22" s="31" t="n">
        <f aca="false">H8*Assumptions!C7*Assumptions!B17</f>
        <v>160</v>
      </c>
      <c r="I22" s="31" t="n">
        <f aca="false">I8*Assumptions!C7*Assumptions!B17</f>
        <v>208</v>
      </c>
      <c r="J22" s="31" t="n">
        <f aca="false">J8*Assumptions!C7*Assumptions!B17</f>
        <v>264</v>
      </c>
      <c r="K22" s="31" t="n">
        <f aca="false">K8*Assumptions!C7*Assumptions!B17</f>
        <v>320</v>
      </c>
      <c r="L22" s="31" t="n">
        <f aca="false">L8*Assumptions!C7*Assumptions!B17</f>
        <v>384</v>
      </c>
      <c r="M22" s="31" t="n">
        <f aca="false">M8*Assumptions!C7*Assumptions!B17</f>
        <v>456</v>
      </c>
      <c r="N22" s="31" t="n">
        <f aca="false">N8*Assumptions!C7*Assumptions!B17</f>
        <v>528</v>
      </c>
      <c r="O22" s="31" t="n">
        <f aca="false">O8*Assumptions!C7*Assumptions!B17</f>
        <v>608</v>
      </c>
      <c r="P22" s="31" t="n">
        <f aca="false">P8*Assumptions!C7*Assumptions!B17</f>
        <v>688</v>
      </c>
      <c r="Q22" s="31" t="n">
        <f aca="false">Q8*Assumptions!C7*Assumptions!B17</f>
        <v>776</v>
      </c>
      <c r="R22" s="31" t="n">
        <f aca="false">R8*Assumptions!C7*Assumptions!B17</f>
        <v>872</v>
      </c>
      <c r="S22" s="31" t="n">
        <f aca="false">S8*Assumptions!C7*Assumptions!B17</f>
        <v>976</v>
      </c>
      <c r="T22" s="31" t="n">
        <f aca="false">T8*Assumptions!C7*Assumptions!B17</f>
        <v>1080</v>
      </c>
      <c r="U22" s="31" t="n">
        <f aca="false">U8*Assumptions!C7*Assumptions!B17</f>
        <v>1192</v>
      </c>
      <c r="V22" s="31" t="n">
        <f aca="false">V8*Assumptions!C7*Assumptions!B17</f>
        <v>1312</v>
      </c>
      <c r="W22" s="31" t="n">
        <f aca="false">W8*Assumptions!C7*Assumptions!B17</f>
        <v>1440</v>
      </c>
      <c r="X22" s="31" t="n">
        <f aca="false">X8*Assumptions!C7*Assumptions!B17</f>
        <v>1576</v>
      </c>
      <c r="Y22" s="31" t="n">
        <f aca="false">Y8*Assumptions!C7*Assumptions!B17</f>
        <v>1720</v>
      </c>
    </row>
    <row r="23" customFormat="false" ht="18" hidden="false" customHeight="true" outlineLevel="0" collapsed="false">
      <c r="A23" s="13" t="s">
        <v>117</v>
      </c>
      <c r="B23" s="31" t="n">
        <f aca="false">B9*Assumptions!C8*Assumptions!B17</f>
        <v>0</v>
      </c>
      <c r="C23" s="31" t="n">
        <f aca="false">C9*Assumptions!C8*Assumptions!B17</f>
        <v>0</v>
      </c>
      <c r="D23" s="31" t="n">
        <f aca="false">D9*Assumptions!C8*Assumptions!B17</f>
        <v>0</v>
      </c>
      <c r="E23" s="31" t="n">
        <f aca="false">E9*Assumptions!C8*Assumptions!B17</f>
        <v>0</v>
      </c>
      <c r="F23" s="31" t="n">
        <f aca="false">F9*Assumptions!C8*Assumptions!B17</f>
        <v>0</v>
      </c>
      <c r="G23" s="31" t="n">
        <f aca="false">G9*Assumptions!C8*Assumptions!B17</f>
        <v>0</v>
      </c>
      <c r="H23" s="31" t="n">
        <f aca="false">H9*Assumptions!C8*Assumptions!B17</f>
        <v>0</v>
      </c>
      <c r="I23" s="31" t="n">
        <f aca="false">I9*Assumptions!C8*Assumptions!B17</f>
        <v>0</v>
      </c>
      <c r="J23" s="31" t="n">
        <f aca="false">J9*Assumptions!C8*Assumptions!B17</f>
        <v>0</v>
      </c>
      <c r="K23" s="31" t="n">
        <f aca="false">K9*Assumptions!C8*Assumptions!B17</f>
        <v>0</v>
      </c>
      <c r="L23" s="31" t="n">
        <f aca="false">L9*Assumptions!C8*Assumptions!B17</f>
        <v>0</v>
      </c>
      <c r="M23" s="31" t="n">
        <f aca="false">M9*Assumptions!C8*Assumptions!B17</f>
        <v>0</v>
      </c>
      <c r="N23" s="31" t="n">
        <f aca="false">N9*Assumptions!C8*Assumptions!B17</f>
        <v>24</v>
      </c>
      <c r="O23" s="31" t="n">
        <f aca="false">O9*Assumptions!C8*Assumptions!B17</f>
        <v>48</v>
      </c>
      <c r="P23" s="31" t="n">
        <f aca="false">P9*Assumptions!C8*Assumptions!B17</f>
        <v>72</v>
      </c>
      <c r="Q23" s="31" t="n">
        <f aca="false">Q9*Assumptions!C8*Assumptions!B17</f>
        <v>96</v>
      </c>
      <c r="R23" s="31" t="n">
        <f aca="false">R9*Assumptions!C8*Assumptions!B17</f>
        <v>120</v>
      </c>
      <c r="S23" s="31" t="n">
        <f aca="false">S9*Assumptions!C8*Assumptions!B17</f>
        <v>144</v>
      </c>
      <c r="T23" s="31" t="n">
        <f aca="false">T9*Assumptions!C8*Assumptions!B17</f>
        <v>168</v>
      </c>
      <c r="U23" s="31" t="n">
        <f aca="false">U9*Assumptions!C8*Assumptions!B17</f>
        <v>192</v>
      </c>
      <c r="V23" s="31" t="n">
        <f aca="false">V9*Assumptions!C8*Assumptions!B17</f>
        <v>216</v>
      </c>
      <c r="W23" s="31" t="n">
        <f aca="false">W9*Assumptions!C8*Assumptions!B17</f>
        <v>264</v>
      </c>
      <c r="X23" s="31" t="n">
        <f aca="false">X9*Assumptions!C8*Assumptions!B17</f>
        <v>312</v>
      </c>
      <c r="Y23" s="31" t="n">
        <f aca="false">Y9*Assumptions!C8*Assumptions!B17</f>
        <v>360</v>
      </c>
    </row>
    <row r="24" customFormat="false" ht="18" hidden="false" customHeight="true" outlineLevel="0" collapsed="false">
      <c r="A24" s="13" t="s">
        <v>118</v>
      </c>
      <c r="B24" s="31" t="n">
        <f aca="false">B10*Assumptions!C9*Assumptions!B17</f>
        <v>0</v>
      </c>
      <c r="C24" s="31" t="n">
        <f aca="false">C10*Assumptions!C9*Assumptions!B17</f>
        <v>0</v>
      </c>
      <c r="D24" s="31" t="n">
        <f aca="false">D10*Assumptions!C9*Assumptions!B17</f>
        <v>0</v>
      </c>
      <c r="E24" s="31" t="n">
        <f aca="false">E10*Assumptions!C9*Assumptions!B17</f>
        <v>0</v>
      </c>
      <c r="F24" s="31" t="n">
        <f aca="false">F10*Assumptions!C9*Assumptions!B17</f>
        <v>0</v>
      </c>
      <c r="G24" s="31" t="n">
        <f aca="false">G10*Assumptions!C9*Assumptions!B17</f>
        <v>0</v>
      </c>
      <c r="H24" s="31" t="n">
        <f aca="false">H10*Assumptions!C9*Assumptions!B17</f>
        <v>0</v>
      </c>
      <c r="I24" s="31" t="n">
        <f aca="false">I10*Assumptions!C9*Assumptions!B17</f>
        <v>0</v>
      </c>
      <c r="J24" s="31" t="n">
        <f aca="false">J10*Assumptions!C9*Assumptions!B17</f>
        <v>0</v>
      </c>
      <c r="K24" s="31" t="n">
        <f aca="false">K10*Assumptions!C9*Assumptions!B17</f>
        <v>0</v>
      </c>
      <c r="L24" s="31" t="n">
        <f aca="false">L10*Assumptions!C9*Assumptions!B17</f>
        <v>0</v>
      </c>
      <c r="M24" s="31" t="n">
        <f aca="false">M10*Assumptions!C9*Assumptions!B17</f>
        <v>0</v>
      </c>
      <c r="N24" s="31" t="n">
        <f aca="false">N10*Assumptions!C9*Assumptions!B17</f>
        <v>0</v>
      </c>
      <c r="O24" s="31" t="n">
        <f aca="false">O10*Assumptions!C9*Assumptions!B17</f>
        <v>0</v>
      </c>
      <c r="P24" s="31" t="n">
        <f aca="false">P10*Assumptions!C9*Assumptions!B17</f>
        <v>0</v>
      </c>
      <c r="Q24" s="31" t="n">
        <f aca="false">Q10*Assumptions!C9*Assumptions!B17</f>
        <v>0</v>
      </c>
      <c r="R24" s="31" t="n">
        <f aca="false">R10*Assumptions!C9*Assumptions!B17</f>
        <v>0</v>
      </c>
      <c r="S24" s="31" t="n">
        <f aca="false">S10*Assumptions!C9*Assumptions!B17</f>
        <v>0</v>
      </c>
      <c r="T24" s="31" t="n">
        <f aca="false">T10*Assumptions!C9*Assumptions!B17</f>
        <v>0</v>
      </c>
      <c r="U24" s="31" t="n">
        <f aca="false">U10*Assumptions!C9*Assumptions!B17</f>
        <v>0</v>
      </c>
      <c r="V24" s="31" t="n">
        <f aca="false">V10*Assumptions!C9*Assumptions!B17</f>
        <v>0</v>
      </c>
      <c r="W24" s="31" t="n">
        <f aca="false">W10*Assumptions!C9*Assumptions!B17</f>
        <v>0</v>
      </c>
      <c r="X24" s="31" t="n">
        <f aca="false">X10*Assumptions!C9*Assumptions!B17</f>
        <v>0</v>
      </c>
      <c r="Y24" s="31" t="n">
        <f aca="false">Y10*Assumptions!C9*Assumptions!B17</f>
        <v>0</v>
      </c>
    </row>
    <row r="25" customFormat="false" ht="18" hidden="false" customHeight="true" outlineLevel="0" collapsed="false">
      <c r="A25" s="13" t="s">
        <v>119</v>
      </c>
      <c r="B25" s="31" t="n">
        <f aca="false">B5*Assumptions!B35</f>
        <v>40</v>
      </c>
      <c r="C25" s="31" t="n">
        <f aca="false">C5*Assumptions!B35</f>
        <v>60</v>
      </c>
      <c r="D25" s="31" t="n">
        <f aca="false">D5*Assumptions!B35</f>
        <v>90</v>
      </c>
      <c r="E25" s="31" t="n">
        <f aca="false">E5*Assumptions!B35</f>
        <v>120</v>
      </c>
      <c r="F25" s="31" t="n">
        <f aca="false">F5*Assumptions!B35</f>
        <v>160</v>
      </c>
      <c r="G25" s="31" t="n">
        <f aca="false">G5*Assumptions!B35</f>
        <v>200</v>
      </c>
      <c r="H25" s="31" t="n">
        <f aca="false">H5*Assumptions!B35</f>
        <v>240</v>
      </c>
      <c r="I25" s="31" t="n">
        <f aca="false">I5*Assumptions!B35</f>
        <v>280</v>
      </c>
      <c r="J25" s="31" t="n">
        <f aca="false">J5*Assumptions!B35</f>
        <v>320</v>
      </c>
      <c r="K25" s="31" t="n">
        <f aca="false">K5*Assumptions!B35</f>
        <v>360</v>
      </c>
      <c r="L25" s="31" t="n">
        <f aca="false">L5*Assumptions!B35</f>
        <v>400</v>
      </c>
      <c r="M25" s="31" t="n">
        <f aca="false">M5*Assumptions!B35</f>
        <v>440</v>
      </c>
      <c r="N25" s="31" t="n">
        <f aca="false">N5*Assumptions!B35</f>
        <v>480</v>
      </c>
      <c r="O25" s="31" t="n">
        <f aca="false">O5*Assumptions!B35</f>
        <v>520</v>
      </c>
      <c r="P25" s="31" t="n">
        <f aca="false">P5*Assumptions!B35</f>
        <v>560</v>
      </c>
      <c r="Q25" s="31" t="n">
        <f aca="false">Q5*Assumptions!B35</f>
        <v>600</v>
      </c>
      <c r="R25" s="31" t="n">
        <f aca="false">R5*Assumptions!B35</f>
        <v>660</v>
      </c>
      <c r="S25" s="31" t="n">
        <f aca="false">S5*Assumptions!B35</f>
        <v>720</v>
      </c>
      <c r="T25" s="31" t="n">
        <f aca="false">T5*Assumptions!B35</f>
        <v>780</v>
      </c>
      <c r="U25" s="31" t="n">
        <f aca="false">U5*Assumptions!B35</f>
        <v>840</v>
      </c>
      <c r="V25" s="31" t="n">
        <f aca="false">V5*Assumptions!B35</f>
        <v>900</v>
      </c>
      <c r="W25" s="31" t="n">
        <f aca="false">W5*Assumptions!B35</f>
        <v>960</v>
      </c>
      <c r="X25" s="31" t="n">
        <f aca="false">X5*Assumptions!B35</f>
        <v>1040</v>
      </c>
      <c r="Y25" s="31" t="n">
        <f aca="false">Y5*Assumptions!B35</f>
        <v>1120</v>
      </c>
    </row>
    <row r="26" customFormat="false" ht="18" hidden="false" customHeight="true" outlineLevel="0" collapsed="false">
      <c r="A26" s="13" t="s">
        <v>120</v>
      </c>
      <c r="B26" s="31" t="n">
        <f aca="false">B17/Assumptions!B17*Assumptions!B17*0.5</f>
        <v>0.625</v>
      </c>
      <c r="C26" s="31" t="n">
        <f aca="false">C17/Assumptions!B17*Assumptions!B17*0.5</f>
        <v>1.25</v>
      </c>
      <c r="D26" s="31" t="n">
        <f aca="false">D17/Assumptions!B17*Assumptions!B17*0.5</f>
        <v>2.5</v>
      </c>
      <c r="E26" s="31" t="n">
        <f aca="false">E17/Assumptions!B17*Assumptions!B17*0.5</f>
        <v>4.375</v>
      </c>
      <c r="F26" s="31" t="n">
        <f aca="false">F17/Assumptions!B17*Assumptions!B17*0.5</f>
        <v>6.875</v>
      </c>
      <c r="G26" s="31" t="n">
        <f aca="false">G17/Assumptions!B17*Assumptions!B17*0.5</f>
        <v>9.375</v>
      </c>
      <c r="H26" s="31" t="n">
        <f aca="false">H17/Assumptions!B17*Assumptions!B17*0.5</f>
        <v>12.5</v>
      </c>
      <c r="I26" s="31" t="n">
        <f aca="false">I17/Assumptions!B17*Assumptions!B17*0.5</f>
        <v>16.25</v>
      </c>
      <c r="J26" s="31" t="n">
        <f aca="false">J17/Assumptions!B17*Assumptions!B17*0.5</f>
        <v>20.625</v>
      </c>
      <c r="K26" s="31" t="n">
        <f aca="false">K17/Assumptions!B17*Assumptions!B17*0.5</f>
        <v>25</v>
      </c>
      <c r="L26" s="31" t="n">
        <f aca="false">L17/Assumptions!B17*Assumptions!B17*0.5</f>
        <v>30</v>
      </c>
      <c r="M26" s="31" t="n">
        <f aca="false">M17/Assumptions!B17*Assumptions!B17*0.5</f>
        <v>35.625</v>
      </c>
      <c r="N26" s="31" t="n">
        <f aca="false">N17/Assumptions!B17*Assumptions!B17*0.5</f>
        <v>41.875</v>
      </c>
      <c r="O26" s="31" t="n">
        <f aca="false">O17/Assumptions!B17*Assumptions!B17*0.5</f>
        <v>48.75</v>
      </c>
      <c r="P26" s="31" t="n">
        <f aca="false">P17/Assumptions!B17*Assumptions!B17*0.5</f>
        <v>55.625</v>
      </c>
      <c r="Q26" s="31" t="n">
        <f aca="false">Q17/Assumptions!B17*Assumptions!B17*0.5</f>
        <v>63.125</v>
      </c>
      <c r="R26" s="31" t="n">
        <f aca="false">R17/Assumptions!B17*Assumptions!B17*0.5</f>
        <v>71.25</v>
      </c>
      <c r="S26" s="31" t="n">
        <f aca="false">S17/Assumptions!B17*Assumptions!B17*0.5</f>
        <v>80</v>
      </c>
      <c r="T26" s="31" t="n">
        <f aca="false">T17/Assumptions!B17*Assumptions!B17*0.5</f>
        <v>88.75</v>
      </c>
      <c r="U26" s="31" t="n">
        <f aca="false">U17/Assumptions!B17*Assumptions!B17*0.5</f>
        <v>98.125</v>
      </c>
      <c r="V26" s="31" t="n">
        <f aca="false">V17/Assumptions!B17*Assumptions!B17*0.5</f>
        <v>108.125</v>
      </c>
      <c r="W26" s="31" t="n">
        <f aca="false">W17/Assumptions!B17*Assumptions!B17*0.5</f>
        <v>119.375</v>
      </c>
      <c r="X26" s="31" t="n">
        <f aca="false">X17/Assumptions!B17*Assumptions!B17*0.5</f>
        <v>131.25</v>
      </c>
      <c r="Y26" s="31" t="n">
        <f aca="false">Y17/Assumptions!B17*Assumptions!B17*0.5</f>
        <v>143.75</v>
      </c>
    </row>
    <row r="27" customFormat="false" ht="18" hidden="false" customHeight="true" outlineLevel="0" collapsed="false">
      <c r="A27" s="10" t="s">
        <v>121</v>
      </c>
      <c r="B27" s="32" t="n">
        <f aca="false">SUM(B21:B26)</f>
        <v>50.625</v>
      </c>
      <c r="C27" s="32" t="n">
        <f aca="false">SUM(C21:C26)</f>
        <v>81.25</v>
      </c>
      <c r="D27" s="32" t="n">
        <f aca="false">SUM(D21:D26)</f>
        <v>130.5</v>
      </c>
      <c r="E27" s="32" t="n">
        <f aca="false">SUM(E21:E26)</f>
        <v>188.375</v>
      </c>
      <c r="F27" s="32" t="n">
        <f aca="false">SUM(F21:F26)</f>
        <v>264.875</v>
      </c>
      <c r="G27" s="32" t="n">
        <f aca="false">SUM(G21:G26)</f>
        <v>343.375</v>
      </c>
      <c r="H27" s="32" t="n">
        <f aca="false">SUM(H21:H26)</f>
        <v>430.5</v>
      </c>
      <c r="I27" s="32" t="n">
        <f aca="false">SUM(I21:I26)</f>
        <v>526.25</v>
      </c>
      <c r="J27" s="32" t="n">
        <f aca="false">SUM(J21:J26)</f>
        <v>630.625</v>
      </c>
      <c r="K27" s="32" t="n">
        <f aca="false">SUM(K21:K26)</f>
        <v>735</v>
      </c>
      <c r="L27" s="32" t="n">
        <f aca="false">SUM(L21:L26)</f>
        <v>848</v>
      </c>
      <c r="M27" s="32" t="n">
        <f aca="false">SUM(M21:M26)</f>
        <v>969.625</v>
      </c>
      <c r="N27" s="32" t="n">
        <f aca="false">SUM(N21:N26)</f>
        <v>1115.875</v>
      </c>
      <c r="O27" s="32" t="n">
        <f aca="false">SUM(O21:O26)</f>
        <v>1270.75</v>
      </c>
      <c r="P27" s="32" t="n">
        <f aca="false">SUM(P21:P26)</f>
        <v>1425.625</v>
      </c>
      <c r="Q27" s="32" t="n">
        <f aca="false">SUM(Q21:Q26)</f>
        <v>1591.125</v>
      </c>
      <c r="R27" s="32" t="n">
        <f aca="false">SUM(R21:R26)</f>
        <v>1785.25</v>
      </c>
      <c r="S27" s="32" t="n">
        <f aca="false">SUM(S21:S26)</f>
        <v>1988</v>
      </c>
      <c r="T27" s="32" t="n">
        <f aca="false">SUM(T21:T26)</f>
        <v>2190.75</v>
      </c>
      <c r="U27" s="32" t="n">
        <f aca="false">SUM(U21:U26)</f>
        <v>2402.125</v>
      </c>
      <c r="V27" s="32" t="n">
        <f aca="false">SUM(V21:V26)</f>
        <v>2622.125</v>
      </c>
      <c r="W27" s="32" t="n">
        <f aca="false">SUM(W21:W26)</f>
        <v>2875.375</v>
      </c>
      <c r="X27" s="32" t="n">
        <f aca="false">SUM(X21:X26)</f>
        <v>3159.25</v>
      </c>
      <c r="Y27" s="32" t="n">
        <f aca="false">SUM(Y21:Y26)</f>
        <v>3451.75</v>
      </c>
    </row>
    <row r="28" customFormat="false" ht="18" hidden="false" customHeight="true" outlineLevel="0" collapsed="false">
      <c r="A28" s="6" t="s">
        <v>122</v>
      </c>
      <c r="B28" s="33" t="n">
        <v>35</v>
      </c>
      <c r="C28" s="33" t="n">
        <v>35</v>
      </c>
      <c r="D28" s="33" t="n">
        <v>35</v>
      </c>
      <c r="E28" s="33" t="n">
        <v>50</v>
      </c>
      <c r="F28" s="33" t="n">
        <v>50</v>
      </c>
      <c r="G28" s="33" t="n">
        <v>50</v>
      </c>
      <c r="H28" s="33" t="n">
        <v>70</v>
      </c>
      <c r="I28" s="33" t="n">
        <v>70</v>
      </c>
      <c r="J28" s="33" t="n">
        <v>70</v>
      </c>
      <c r="K28" s="33" t="n">
        <v>70</v>
      </c>
      <c r="L28" s="33" t="n">
        <v>70</v>
      </c>
      <c r="M28" s="33" t="n">
        <v>70</v>
      </c>
      <c r="N28" s="33" t="n">
        <v>100</v>
      </c>
      <c r="O28" s="33" t="n">
        <v>100</v>
      </c>
      <c r="P28" s="33" t="n">
        <v>100</v>
      </c>
      <c r="Q28" s="33" t="n">
        <v>100</v>
      </c>
      <c r="R28" s="33" t="n">
        <v>100</v>
      </c>
      <c r="S28" s="33" t="n">
        <v>100</v>
      </c>
      <c r="T28" s="33" t="n">
        <v>130</v>
      </c>
      <c r="U28" s="33" t="n">
        <v>130</v>
      </c>
      <c r="V28" s="33" t="n">
        <v>130</v>
      </c>
      <c r="W28" s="33" t="n">
        <v>130</v>
      </c>
      <c r="X28" s="33" t="n">
        <v>130</v>
      </c>
      <c r="Y28" s="33" t="n">
        <v>130</v>
      </c>
    </row>
    <row r="29" customFormat="false" ht="18" hidden="false" customHeight="true" outlineLevel="0" collapsed="false">
      <c r="A29" s="6" t="s">
        <v>123</v>
      </c>
      <c r="B29" s="31" t="n">
        <f aca="false">B18*Assumptions!B46+B11*Assumptions!B47</f>
        <v>0.88725</v>
      </c>
      <c r="C29" s="31" t="n">
        <f aca="false">C18*Assumptions!B46+C11*Assumptions!B47</f>
        <v>1.7745</v>
      </c>
      <c r="D29" s="31" t="n">
        <f aca="false">D18*Assumptions!B46+D11*Assumptions!B47</f>
        <v>3.549</v>
      </c>
      <c r="E29" s="31" t="n">
        <f aca="false">E18*Assumptions!B46+E11*Assumptions!B47</f>
        <v>6.21075</v>
      </c>
      <c r="F29" s="31" t="n">
        <f aca="false">F18*Assumptions!B46+F11*Assumptions!B47</f>
        <v>9.75975</v>
      </c>
      <c r="G29" s="31" t="n">
        <f aca="false">G18*Assumptions!B46+G11*Assumptions!B47</f>
        <v>13.30875</v>
      </c>
      <c r="H29" s="31" t="n">
        <f aca="false">H18*Assumptions!B46+H11*Assumptions!B47</f>
        <v>17.745</v>
      </c>
      <c r="I29" s="31" t="n">
        <f aca="false">I18*Assumptions!B46+I11*Assumptions!B47</f>
        <v>23.0685</v>
      </c>
      <c r="J29" s="31" t="n">
        <f aca="false">J18*Assumptions!B46+J11*Assumptions!B47</f>
        <v>29.27925</v>
      </c>
      <c r="K29" s="31" t="n">
        <f aca="false">K18*Assumptions!B46+K11*Assumptions!B47</f>
        <v>35.49</v>
      </c>
      <c r="L29" s="31" t="n">
        <f aca="false">L18*Assumptions!B46+L11*Assumptions!B47</f>
        <v>42.588</v>
      </c>
      <c r="M29" s="31" t="n">
        <f aca="false">M18*Assumptions!B46+M11*Assumptions!B47</f>
        <v>50.57325</v>
      </c>
      <c r="N29" s="31" t="n">
        <f aca="false">N18*Assumptions!B46+N11*Assumptions!B47</f>
        <v>60.31575</v>
      </c>
      <c r="O29" s="31" t="n">
        <f aca="false">O18*Assumptions!B46+O11*Assumptions!B47</f>
        <v>70.9455</v>
      </c>
      <c r="P29" s="31" t="n">
        <f aca="false">P18*Assumptions!B46+P11*Assumptions!B47</f>
        <v>81.57525</v>
      </c>
      <c r="Q29" s="31" t="n">
        <f aca="false">Q18*Assumptions!B46+Q11*Assumptions!B47</f>
        <v>93.09225</v>
      </c>
      <c r="R29" s="31" t="n">
        <f aca="false">R18*Assumptions!B46+R11*Assumptions!B47</f>
        <v>105.4965</v>
      </c>
      <c r="S29" s="31" t="n">
        <f aca="false">S18*Assumptions!B46+S11*Assumptions!B47</f>
        <v>118.788</v>
      </c>
      <c r="T29" s="31" t="n">
        <f aca="false">T18*Assumptions!B46+T11*Assumptions!B47</f>
        <v>132.0795</v>
      </c>
      <c r="U29" s="31" t="n">
        <f aca="false">U18*Assumptions!B46+U11*Assumptions!B47</f>
        <v>146.25825</v>
      </c>
      <c r="V29" s="31" t="n">
        <f aca="false">V18*Assumptions!B46+V11*Assumptions!B47</f>
        <v>161.32425</v>
      </c>
      <c r="W29" s="31" t="n">
        <f aca="false">W18*Assumptions!B46+W11*Assumptions!B47</f>
        <v>179.03475</v>
      </c>
      <c r="X29" s="31" t="n">
        <f aca="false">X18*Assumptions!B46+X11*Assumptions!B47</f>
        <v>197.6325</v>
      </c>
      <c r="Y29" s="31" t="n">
        <f aca="false">Y18*Assumptions!B46+Y11*Assumptions!B47</f>
        <v>217.1175</v>
      </c>
    </row>
    <row r="30" customFormat="false" ht="18" hidden="false" customHeight="true" outlineLevel="0" collapsed="false">
      <c r="A30" s="29" t="s">
        <v>124</v>
      </c>
      <c r="B30" s="32" t="n">
        <f aca="false">B27+B28+B29</f>
        <v>86.51225</v>
      </c>
      <c r="C30" s="32" t="n">
        <f aca="false">C27+C28+C29</f>
        <v>118.0245</v>
      </c>
      <c r="D30" s="32" t="n">
        <f aca="false">D27+D28+D29</f>
        <v>169.049</v>
      </c>
      <c r="E30" s="32" t="n">
        <f aca="false">E27+E28+E29</f>
        <v>244.58575</v>
      </c>
      <c r="F30" s="32" t="n">
        <f aca="false">F27+F28+F29</f>
        <v>324.63475</v>
      </c>
      <c r="G30" s="32" t="n">
        <f aca="false">G27+G28+G29</f>
        <v>406.68375</v>
      </c>
      <c r="H30" s="32" t="n">
        <f aca="false">H27+H28+H29</f>
        <v>518.245</v>
      </c>
      <c r="I30" s="32" t="n">
        <f aca="false">I27+I28+I29</f>
        <v>619.3185</v>
      </c>
      <c r="J30" s="32" t="n">
        <f aca="false">J27+J28+J29</f>
        <v>729.90425</v>
      </c>
      <c r="K30" s="32" t="n">
        <f aca="false">K27+K28+K29</f>
        <v>840.49</v>
      </c>
      <c r="L30" s="32" t="n">
        <f aca="false">L27+L28+L29</f>
        <v>960.588</v>
      </c>
      <c r="M30" s="32" t="n">
        <f aca="false">M27+M28+M29</f>
        <v>1090.19825</v>
      </c>
      <c r="N30" s="32" t="n">
        <f aca="false">N27+N28+N29</f>
        <v>1276.19075</v>
      </c>
      <c r="O30" s="32" t="n">
        <f aca="false">O27+O28+O29</f>
        <v>1441.6955</v>
      </c>
      <c r="P30" s="32" t="n">
        <f aca="false">P27+P28+P29</f>
        <v>1607.20025</v>
      </c>
      <c r="Q30" s="32" t="n">
        <f aca="false">Q27+Q28+Q29</f>
        <v>1784.21725</v>
      </c>
      <c r="R30" s="32" t="n">
        <f aca="false">R27+R28+R29</f>
        <v>1990.7465</v>
      </c>
      <c r="S30" s="32" t="n">
        <f aca="false">S27+S28+S29</f>
        <v>2206.788</v>
      </c>
      <c r="T30" s="32" t="n">
        <f aca="false">T27+T28+T29</f>
        <v>2452.8295</v>
      </c>
      <c r="U30" s="32" t="n">
        <f aca="false">U27+U28+U29</f>
        <v>2678.38325</v>
      </c>
      <c r="V30" s="32" t="n">
        <f aca="false">V27+V28+V29</f>
        <v>2913.44925</v>
      </c>
      <c r="W30" s="32" t="n">
        <f aca="false">W27+W28+W29</f>
        <v>3184.40975</v>
      </c>
      <c r="X30" s="32" t="n">
        <f aca="false">X27+X28+X29</f>
        <v>3486.8825</v>
      </c>
      <c r="Y30" s="32" t="n">
        <f aca="false">Y27+Y28+Y29</f>
        <v>3798.8675</v>
      </c>
    </row>
    <row r="32" customFormat="false" ht="21.75" hidden="false" customHeight="true" outlineLevel="0" collapsed="false">
      <c r="A32" s="4" t="s">
        <v>125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8" hidden="false" customHeight="true" outlineLevel="0" collapsed="false">
      <c r="A33" s="34" t="s">
        <v>126</v>
      </c>
      <c r="B33" s="35" t="n">
        <f aca="false">B18-B27-B29</f>
        <v>-31.26225</v>
      </c>
      <c r="C33" s="35" t="n">
        <f aca="false">C18-C27-C29</f>
        <v>-42.5245</v>
      </c>
      <c r="D33" s="35" t="n">
        <f aca="false">D18-D27-D29</f>
        <v>-53.049</v>
      </c>
      <c r="E33" s="35" t="n">
        <f aca="false">E18-E27-E29</f>
        <v>-52.83575</v>
      </c>
      <c r="F33" s="35" t="n">
        <f aca="false">F18-F27-F29</f>
        <v>-51.88475</v>
      </c>
      <c r="G33" s="35" t="n">
        <f aca="false">G18-G27-G29</f>
        <v>-52.93375</v>
      </c>
      <c r="H33" s="35" t="n">
        <f aca="false">H18-H27-H29</f>
        <v>-43.245</v>
      </c>
      <c r="I33" s="35" t="n">
        <f aca="false">I18-I27-I29</f>
        <v>-22.8185</v>
      </c>
      <c r="J33" s="35" t="n">
        <f aca="false">J18-J27-J29</f>
        <v>8.34575</v>
      </c>
      <c r="K33" s="35" t="n">
        <f aca="false">K18-K27-K29</f>
        <v>39.51</v>
      </c>
      <c r="L33" s="35" t="n">
        <f aca="false">L18-L27-L29</f>
        <v>81.412</v>
      </c>
      <c r="M33" s="35" t="n">
        <f aca="false">M18-M27-M29</f>
        <v>134.05175</v>
      </c>
      <c r="N33" s="35" t="n">
        <f aca="false">N18-N27-N29</f>
        <v>210.55925</v>
      </c>
      <c r="O33" s="35" t="n">
        <f aca="false">O18-O27-O29</f>
        <v>297.8045</v>
      </c>
      <c r="P33" s="35" t="n">
        <f aca="false">P18-P27-P29</f>
        <v>385.04975</v>
      </c>
      <c r="Q33" s="35" t="n">
        <f aca="false">Q18-Q27-Q29</f>
        <v>481.03275</v>
      </c>
      <c r="R33" s="35" t="n">
        <f aca="false">R18-R27-R29</f>
        <v>567.7535</v>
      </c>
      <c r="S33" s="35" t="n">
        <f aca="false">S18-S27-S29</f>
        <v>665.212</v>
      </c>
      <c r="T33" s="35" t="n">
        <f aca="false">T18-T27-T29</f>
        <v>762.6705</v>
      </c>
      <c r="U33" s="35" t="n">
        <f aca="false">U18-U27-U29</f>
        <v>870.86675</v>
      </c>
      <c r="V33" s="35" t="n">
        <f aca="false">V18-V27-V29</f>
        <v>989.80075</v>
      </c>
      <c r="W33" s="35" t="n">
        <f aca="false">W18-W27-W29</f>
        <v>1143.34025</v>
      </c>
      <c r="X33" s="35" t="n">
        <f aca="false">X18-X27-X29</f>
        <v>1285.6175</v>
      </c>
      <c r="Y33" s="35" t="n">
        <f aca="false">Y18-Y27-Y29</f>
        <v>1438.6325</v>
      </c>
    </row>
    <row r="34" customFormat="false" ht="18" hidden="false" customHeight="true" outlineLevel="0" collapsed="false">
      <c r="A34" s="6" t="s">
        <v>127</v>
      </c>
      <c r="B34" s="36" t="n">
        <f aca="false">IF(B18&gt;0,B33/B18,0)</f>
        <v>-1.54381481481482</v>
      </c>
      <c r="C34" s="36" t="n">
        <f aca="false">IF(C18&gt;0,C33/C18,0)</f>
        <v>-1.04998765432099</v>
      </c>
      <c r="D34" s="36" t="n">
        <f aca="false">IF(D18&gt;0,D33/D18,0)</f>
        <v>-0.654925925925926</v>
      </c>
      <c r="E34" s="36" t="n">
        <f aca="false">IF(E18&gt;0,E33/E18,0)</f>
        <v>-0.37273897707231</v>
      </c>
      <c r="F34" s="36" t="n">
        <f aca="false">IF(F18&gt;0,F33/F18,0)</f>
        <v>-0.232928170594837</v>
      </c>
      <c r="G34" s="36" t="n">
        <f aca="false">IF(G18&gt;0,G33/G18,0)</f>
        <v>-0.174267489711934</v>
      </c>
      <c r="H34" s="36" t="n">
        <f aca="false">IF(H18&gt;0,H33/H18,0)</f>
        <v>-0.106777777777778</v>
      </c>
      <c r="I34" s="36" t="n">
        <f aca="false">IF(I18&gt;0,I33/I18,0)</f>
        <v>-0.0433399810066477</v>
      </c>
      <c r="J34" s="36" t="n">
        <f aca="false">IF(J18&gt;0,J33/J18,0)</f>
        <v>0.0124889637111859</v>
      </c>
      <c r="K34" s="36" t="n">
        <f aca="false">IF(K18&gt;0,K33/K18,0)</f>
        <v>0.0487777777777778</v>
      </c>
      <c r="L34" s="36" t="n">
        <f aca="false">IF(L18&gt;0,L33/L18,0)</f>
        <v>0.0837572016460906</v>
      </c>
      <c r="M34" s="36" t="n">
        <f aca="false">IF(M18&gt;0,M33/M18,0)</f>
        <v>0.116137535196015</v>
      </c>
      <c r="N34" s="36" t="n">
        <f aca="false">IF(N18&gt;0,N33/N18,0)</f>
        <v>0.151836488191815</v>
      </c>
      <c r="O34" s="36" t="n">
        <f aca="false">IF(O18&gt;0,O33/O18,0)</f>
        <v>0.181643488868557</v>
      </c>
      <c r="P34" s="36" t="n">
        <f aca="false">IF(P18&gt;0,P33/P18,0)</f>
        <v>0.203487779098956</v>
      </c>
      <c r="Q34" s="36" t="n">
        <f aca="false">IF(Q18&gt;0,Q33/Q18,0)</f>
        <v>0.222160374090752</v>
      </c>
      <c r="R34" s="36" t="n">
        <f aca="false">IF(R18&gt;0,R33/R18,0)</f>
        <v>0.230934919666463</v>
      </c>
      <c r="S34" s="36" t="n">
        <f aca="false">IF(S18&gt;0,S33/S18,0)</f>
        <v>0.239975468975469</v>
      </c>
      <c r="T34" s="36" t="n">
        <f aca="false">IF(T18&gt;0,T33/T18,0)</f>
        <v>0.247178901312591</v>
      </c>
      <c r="U34" s="36" t="n">
        <f aca="false">IF(U18&gt;0,U33/U18,0)</f>
        <v>0.254695254807341</v>
      </c>
      <c r="V34" s="36" t="n">
        <f aca="false">IF(V18&gt;0,V33/V18,0)</f>
        <v>0.262320479692573</v>
      </c>
      <c r="W34" s="36" t="n">
        <f aca="false">IF(W18&gt;0,W33/W18,0)</f>
        <v>0.272369781430528</v>
      </c>
      <c r="X34" s="36" t="n">
        <f aca="false">IF(X18&gt;0,X33/X18,0)</f>
        <v>0.276923532579429</v>
      </c>
      <c r="Y34" s="36" t="n">
        <f aca="false">IF(Y18&gt;0,Y33/Y18,0)</f>
        <v>0.28167058247675</v>
      </c>
    </row>
    <row r="35" customFormat="false" ht="18" hidden="false" customHeight="true" outlineLevel="0" collapsed="false">
      <c r="A35" s="29" t="s">
        <v>128</v>
      </c>
      <c r="B35" s="37" t="n">
        <f aca="false">B18-B30</f>
        <v>-66.26225</v>
      </c>
      <c r="C35" s="37" t="n">
        <f aca="false">C18-C30</f>
        <v>-77.5245</v>
      </c>
      <c r="D35" s="37" t="n">
        <f aca="false">D18-D30</f>
        <v>-88.049</v>
      </c>
      <c r="E35" s="37" t="n">
        <f aca="false">E18-E30</f>
        <v>-102.83575</v>
      </c>
      <c r="F35" s="37" t="n">
        <f aca="false">F18-F30</f>
        <v>-101.88475</v>
      </c>
      <c r="G35" s="37" t="n">
        <f aca="false">G18-G30</f>
        <v>-102.93375</v>
      </c>
      <c r="H35" s="37" t="n">
        <f aca="false">H18-H30</f>
        <v>-113.245</v>
      </c>
      <c r="I35" s="37" t="n">
        <f aca="false">I18-I30</f>
        <v>-92.8185</v>
      </c>
      <c r="J35" s="37" t="n">
        <f aca="false">J18-J30</f>
        <v>-61.6542500000001</v>
      </c>
      <c r="K35" s="37" t="n">
        <f aca="false">K18-K30</f>
        <v>-30.49</v>
      </c>
      <c r="L35" s="37" t="n">
        <f aca="false">L18-L30</f>
        <v>11.412</v>
      </c>
      <c r="M35" s="37" t="n">
        <f aca="false">M18-M30</f>
        <v>64.0517500000001</v>
      </c>
      <c r="N35" s="37" t="n">
        <f aca="false">N18-N30</f>
        <v>110.55925</v>
      </c>
      <c r="O35" s="37" t="n">
        <f aca="false">O18-O30</f>
        <v>197.8045</v>
      </c>
      <c r="P35" s="37" t="n">
        <f aca="false">P18-P30</f>
        <v>285.04975</v>
      </c>
      <c r="Q35" s="37" t="n">
        <f aca="false">Q18-Q30</f>
        <v>381.03275</v>
      </c>
      <c r="R35" s="37" t="n">
        <f aca="false">R18-R30</f>
        <v>467.7535</v>
      </c>
      <c r="S35" s="37" t="n">
        <f aca="false">S18-S30</f>
        <v>565.212</v>
      </c>
      <c r="T35" s="37" t="n">
        <f aca="false">T18-T30</f>
        <v>632.6705</v>
      </c>
      <c r="U35" s="37" t="n">
        <f aca="false">U18-U30</f>
        <v>740.86675</v>
      </c>
      <c r="V35" s="37" t="n">
        <f aca="false">V18-V30</f>
        <v>859.80075</v>
      </c>
      <c r="W35" s="37" t="n">
        <f aca="false">W18-W30</f>
        <v>1013.34025</v>
      </c>
      <c r="X35" s="37" t="n">
        <f aca="false">X18-X30</f>
        <v>1155.6175</v>
      </c>
      <c r="Y35" s="37" t="n">
        <f aca="false">Y18-Y30</f>
        <v>1308.6325</v>
      </c>
    </row>
    <row r="36" customFormat="false" ht="18" hidden="false" customHeight="true" outlineLevel="0" collapsed="false">
      <c r="A36" s="13" t="s">
        <v>129</v>
      </c>
      <c r="B36" s="33" t="n">
        <f aca="false">B35</f>
        <v>-66.26225</v>
      </c>
      <c r="C36" s="33" t="n">
        <f aca="false">B36+C35</f>
        <v>-143.78675</v>
      </c>
      <c r="D36" s="33" t="n">
        <f aca="false">C36+D35</f>
        <v>-231.83575</v>
      </c>
      <c r="E36" s="33" t="n">
        <f aca="false">D36+E35</f>
        <v>-334.6715</v>
      </c>
      <c r="F36" s="33" t="n">
        <f aca="false">E36+F35</f>
        <v>-436.55625</v>
      </c>
      <c r="G36" s="33" t="n">
        <f aca="false">F36+G35</f>
        <v>-539.49</v>
      </c>
      <c r="H36" s="33" t="n">
        <f aca="false">G36+H35</f>
        <v>-652.735</v>
      </c>
      <c r="I36" s="33" t="n">
        <f aca="false">H36+I35</f>
        <v>-745.5535</v>
      </c>
      <c r="J36" s="33" t="n">
        <f aca="false">I36+J35</f>
        <v>-807.20775</v>
      </c>
      <c r="K36" s="33" t="n">
        <f aca="false">J36+K35</f>
        <v>-837.69775</v>
      </c>
      <c r="L36" s="33" t="n">
        <f aca="false">K36+L35</f>
        <v>-826.28575</v>
      </c>
      <c r="M36" s="33" t="n">
        <f aca="false">L36+M35</f>
        <v>-762.234</v>
      </c>
      <c r="N36" s="33" t="n">
        <f aca="false">M36+N35</f>
        <v>-651.67475</v>
      </c>
      <c r="O36" s="33" t="n">
        <f aca="false">N36+O35</f>
        <v>-453.87025</v>
      </c>
      <c r="P36" s="33" t="n">
        <f aca="false">O36+P35</f>
        <v>-168.8205</v>
      </c>
      <c r="Q36" s="33" t="n">
        <f aca="false">P36+Q35</f>
        <v>212.21225</v>
      </c>
      <c r="R36" s="33" t="n">
        <f aca="false">Q36+R35</f>
        <v>679.96575</v>
      </c>
      <c r="S36" s="33" t="n">
        <f aca="false">R36+S35</f>
        <v>1245.17775</v>
      </c>
      <c r="T36" s="33" t="n">
        <f aca="false">S36+T35</f>
        <v>1877.84825</v>
      </c>
      <c r="U36" s="33" t="n">
        <f aca="false">T36+U35</f>
        <v>2618.715</v>
      </c>
      <c r="V36" s="33" t="n">
        <f aca="false">U36+V35</f>
        <v>3478.51575</v>
      </c>
      <c r="W36" s="33" t="n">
        <f aca="false">V36+W35</f>
        <v>4491.856</v>
      </c>
      <c r="X36" s="33" t="n">
        <f aca="false">W36+X35</f>
        <v>5647.4735</v>
      </c>
      <c r="Y36" s="33" t="n">
        <f aca="false">X36+Y35</f>
        <v>6956.106</v>
      </c>
    </row>
  </sheetData>
  <mergeCells count="5">
    <mergeCell ref="A1:Z1"/>
    <mergeCell ref="A6:Y6"/>
    <mergeCell ref="A13:Y13"/>
    <mergeCell ref="A20:Y20"/>
    <mergeCell ref="A32:Y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20"/>
  </cols>
  <sheetData>
    <row r="1" customFormat="false" ht="31.5" hidden="false" customHeight="true" outlineLevel="0" collapsed="false">
      <c r="A1" s="20" t="s">
        <v>130</v>
      </c>
      <c r="B1" s="20"/>
      <c r="C1" s="20"/>
      <c r="D1" s="20"/>
      <c r="E1" s="20"/>
    </row>
    <row r="3" customFormat="false" ht="15" hidden="false" customHeight="true" outlineLevel="0" collapsed="false">
      <c r="A3" s="21" t="s">
        <v>76</v>
      </c>
      <c r="B3" s="22" t="s">
        <v>131</v>
      </c>
      <c r="C3" s="22" t="s">
        <v>132</v>
      </c>
      <c r="D3" s="22" t="s">
        <v>133</v>
      </c>
      <c r="E3" s="21" t="s">
        <v>6</v>
      </c>
    </row>
    <row r="4" customFormat="false" ht="18" hidden="false" customHeight="true" outlineLevel="0" collapsed="false">
      <c r="A4" s="38" t="s">
        <v>134</v>
      </c>
      <c r="E4" s="39"/>
    </row>
    <row r="5" customFormat="false" ht="18" hidden="false" customHeight="true" outlineLevel="0" collapsed="false">
      <c r="A5" s="13" t="s">
        <v>7</v>
      </c>
      <c r="B5" s="40" t="n">
        <f aca="false">'Monthly P&amp;L'!M7</f>
        <v>19</v>
      </c>
      <c r="C5" s="40" t="n">
        <f aca="false">'Monthly P&amp;L'!Y7</f>
        <v>54</v>
      </c>
      <c r="D5" s="41" t="n">
        <f aca="false">IF(AND(B5&lt;&gt;0,C5&lt;&gt;0),(C5-B5)/ABS(B5),0)</f>
        <v>1.84210526315789</v>
      </c>
      <c r="E5" s="39" t="s">
        <v>135</v>
      </c>
    </row>
    <row r="6" customFormat="false" ht="18" hidden="false" customHeight="true" outlineLevel="0" collapsed="false">
      <c r="A6" s="42" t="s">
        <v>136</v>
      </c>
      <c r="B6" s="43" t="n">
        <f aca="false">'Monthly P&amp;L'!M8</f>
        <v>57</v>
      </c>
      <c r="C6" s="43" t="n">
        <f aca="false">'Monthly P&amp;L'!Y8</f>
        <v>215</v>
      </c>
      <c r="D6" s="41" t="n">
        <f aca="false">IF(AND(B6&lt;&gt;0,C6&lt;&gt;0),(C6-B6)/ABS(B6),0)</f>
        <v>2.7719298245614</v>
      </c>
      <c r="E6" s="39" t="s">
        <v>137</v>
      </c>
    </row>
    <row r="7" customFormat="false" ht="18" hidden="false" customHeight="true" outlineLevel="0" collapsed="false">
      <c r="A7" s="44" t="s">
        <v>138</v>
      </c>
      <c r="B7" s="45" t="n">
        <f aca="false">'Monthly P&amp;L'!M9</f>
        <v>0</v>
      </c>
      <c r="C7" s="45" t="n">
        <f aca="false">'Monthly P&amp;L'!Y9</f>
        <v>15</v>
      </c>
      <c r="D7" s="41" t="n">
        <f aca="false">IF(AND(B7&lt;&gt;0,C7&lt;&gt;0),(C7-B7)/ABS(B7),0)</f>
        <v>0</v>
      </c>
      <c r="E7" s="39"/>
    </row>
    <row r="8" customFormat="false" ht="18" hidden="false" customHeight="true" outlineLevel="0" collapsed="false">
      <c r="A8" s="6" t="s">
        <v>139</v>
      </c>
      <c r="B8" s="46" t="n">
        <f aca="false">'Monthly P&amp;L'!M10</f>
        <v>0</v>
      </c>
      <c r="C8" s="46" t="n">
        <f aca="false">'Monthly P&amp;L'!Y10</f>
        <v>0</v>
      </c>
      <c r="D8" s="41" t="n">
        <f aca="false">IF(AND(B8&lt;&gt;0,C8&lt;&gt;0),(C8-B8)/ABS(B8),0)</f>
        <v>0</v>
      </c>
      <c r="E8" s="39"/>
    </row>
    <row r="9" customFormat="false" ht="18" hidden="false" customHeight="true" outlineLevel="0" collapsed="false">
      <c r="A9" s="47" t="s">
        <v>107</v>
      </c>
      <c r="B9" s="48" t="n">
        <f aca="false">'Monthly P&amp;L'!M11</f>
        <v>57</v>
      </c>
      <c r="C9" s="48" t="n">
        <f aca="false">'Monthly P&amp;L'!Y11</f>
        <v>230</v>
      </c>
      <c r="D9" s="41" t="n">
        <f aca="false">IF(AND(B9&lt;&gt;0,C9&lt;&gt;0),(C9-B9)/ABS(B9),0)</f>
        <v>3.03508771929825</v>
      </c>
      <c r="E9" s="39"/>
    </row>
    <row r="10" customFormat="false" ht="7.5" hidden="false" customHeight="true" outlineLevel="0" collapsed="false"/>
    <row r="11" customFormat="false" ht="18" hidden="false" customHeight="true" outlineLevel="0" collapsed="false">
      <c r="A11" s="49" t="s">
        <v>140</v>
      </c>
      <c r="E11" s="39"/>
    </row>
    <row r="12" customFormat="false" ht="18" hidden="false" customHeight="true" outlineLevel="0" collapsed="false">
      <c r="A12" s="6" t="s">
        <v>141</v>
      </c>
      <c r="B12" s="50" t="n">
        <f aca="false">SUM('Monthly P&amp;L'!B14:M14)</f>
        <v>5016</v>
      </c>
      <c r="C12" s="50" t="n">
        <f aca="false">SUM('Monthly P&amp;L'!N14:Y14)</f>
        <v>30324</v>
      </c>
      <c r="D12" s="41" t="n">
        <f aca="false">IF(AND(B12&lt;&gt;0,C12&lt;&gt;0),(C12-B12)/ABS(B12),0)</f>
        <v>5.04545454545455</v>
      </c>
      <c r="E12" s="39"/>
    </row>
    <row r="13" customFormat="false" ht="18" hidden="false" customHeight="true" outlineLevel="0" collapsed="false">
      <c r="A13" s="6" t="s">
        <v>142</v>
      </c>
      <c r="B13" s="50" t="n">
        <f aca="false">SUM('Monthly P&amp;L'!B15:M15)</f>
        <v>0</v>
      </c>
      <c r="C13" s="50" t="n">
        <f aca="false">SUM('Monthly P&amp;L'!N15:Y15)</f>
        <v>4116</v>
      </c>
      <c r="D13" s="41" t="n">
        <f aca="false">IF(AND(B13&lt;&gt;0,C13&lt;&gt;0),(C13-B13)/ABS(B13),0)</f>
        <v>0</v>
      </c>
      <c r="E13" s="39"/>
    </row>
    <row r="14" customFormat="false" ht="18" hidden="false" customHeight="true" outlineLevel="0" collapsed="false">
      <c r="A14" s="6" t="s">
        <v>143</v>
      </c>
      <c r="B14" s="50" t="n">
        <f aca="false">SUM('Monthly P&amp;L'!B16:M16)</f>
        <v>0</v>
      </c>
      <c r="C14" s="50" t="n">
        <f aca="false">SUM('Monthly P&amp;L'!N16:Y16)</f>
        <v>0</v>
      </c>
      <c r="D14" s="41" t="n">
        <f aca="false">IF(AND(B14&lt;&gt;0,C14&lt;&gt;0),(C14-B14)/ABS(B14),0)</f>
        <v>0</v>
      </c>
      <c r="E14" s="39"/>
    </row>
    <row r="15" customFormat="false" ht="18" hidden="false" customHeight="true" outlineLevel="0" collapsed="false">
      <c r="A15" s="13" t="s">
        <v>144</v>
      </c>
      <c r="B15" s="51" t="n">
        <f aca="false">SUM('Monthly P&amp;L'!B17:M17)</f>
        <v>330</v>
      </c>
      <c r="C15" s="51" t="n">
        <f aca="false">SUM('Monthly P&amp;L'!N17:Y17)</f>
        <v>2100</v>
      </c>
      <c r="D15" s="41" t="n">
        <f aca="false">IF(AND(B15&lt;&gt;0,C15&lt;&gt;0),(C15-B15)/ABS(B15),0)</f>
        <v>5.36363636363636</v>
      </c>
      <c r="E15" s="39" t="s">
        <v>145</v>
      </c>
    </row>
    <row r="16" customFormat="false" ht="18" hidden="false" customHeight="true" outlineLevel="0" collapsed="false">
      <c r="A16" s="47" t="s">
        <v>146</v>
      </c>
      <c r="B16" s="52" t="n">
        <f aca="false">SUM('Monthly P&amp;L'!B18:M18)</f>
        <v>5346</v>
      </c>
      <c r="C16" s="52" t="n">
        <f aca="false">SUM('Monthly P&amp;L'!N18:Y18)</f>
        <v>36540</v>
      </c>
      <c r="D16" s="41" t="n">
        <f aca="false">IF(AND(B16&lt;&gt;0,C16&lt;&gt;0),(C16-B16)/ABS(B16),0)</f>
        <v>5.83501683501684</v>
      </c>
      <c r="E16" s="39"/>
    </row>
    <row r="17" customFormat="false" ht="7.5" hidden="false" customHeight="true" outlineLevel="0" collapsed="false"/>
    <row r="18" customFormat="false" ht="18" hidden="false" customHeight="true" outlineLevel="0" collapsed="false">
      <c r="A18" s="53" t="s">
        <v>147</v>
      </c>
      <c r="E18" s="39"/>
    </row>
    <row r="19" customFormat="false" ht="18" hidden="false" customHeight="true" outlineLevel="0" collapsed="false">
      <c r="A19" s="6" t="s">
        <v>148</v>
      </c>
      <c r="B19" s="50" t="n">
        <f aca="false">SUM('Monthly P&amp;L'!B27:M27)</f>
        <v>5199</v>
      </c>
      <c r="C19" s="50" t="n">
        <f aca="false">SUM('Monthly P&amp;L'!N27:Y27)</f>
        <v>25878</v>
      </c>
      <c r="D19" s="41" t="n">
        <f aca="false">IF(AND(B19&lt;&gt;0,C19&lt;&gt;0),(C19-B19)/ABS(B19),0)</f>
        <v>3.97749567224466</v>
      </c>
      <c r="E19" s="39" t="s">
        <v>149</v>
      </c>
    </row>
    <row r="20" customFormat="false" ht="18" hidden="false" customHeight="true" outlineLevel="0" collapsed="false">
      <c r="A20" s="6" t="s">
        <v>150</v>
      </c>
      <c r="B20" s="50" t="n">
        <f aca="false">SUM('Monthly P&amp;L'!B28:M28)</f>
        <v>675</v>
      </c>
      <c r="C20" s="50" t="n">
        <f aca="false">SUM('Monthly P&amp;L'!N28:Y28)</f>
        <v>1380</v>
      </c>
      <c r="D20" s="41" t="n">
        <f aca="false">IF(AND(B20&lt;&gt;0,C20&lt;&gt;0),(C20-B20)/ABS(B20),0)</f>
        <v>1.04444444444444</v>
      </c>
      <c r="E20" s="39" t="s">
        <v>151</v>
      </c>
    </row>
    <row r="21" customFormat="false" ht="18" hidden="false" customHeight="true" outlineLevel="0" collapsed="false">
      <c r="A21" s="6" t="s">
        <v>152</v>
      </c>
      <c r="B21" s="50" t="n">
        <f aca="false">SUM('Monthly P&amp;L'!B29:M29)</f>
        <v>234.234</v>
      </c>
      <c r="C21" s="50" t="n">
        <f aca="false">SUM('Monthly P&amp;L'!N29:Y29)</f>
        <v>1563.66</v>
      </c>
      <c r="D21" s="41" t="n">
        <f aca="false">IF(AND(B21&lt;&gt;0,C21&lt;&gt;0),(C21-B21)/ABS(B21),0)</f>
        <v>5.67563206024745</v>
      </c>
      <c r="E21" s="39" t="s">
        <v>153</v>
      </c>
    </row>
    <row r="22" customFormat="false" ht="18" hidden="false" customHeight="true" outlineLevel="0" collapsed="false">
      <c r="A22" s="47" t="s">
        <v>154</v>
      </c>
      <c r="B22" s="52" t="n">
        <f aca="false">B18+B19+B20</f>
        <v>5874</v>
      </c>
      <c r="C22" s="52" t="n">
        <f aca="false">C18+C19+C20</f>
        <v>27258</v>
      </c>
      <c r="D22" s="41" t="n">
        <f aca="false">IF(AND(B22&lt;&gt;0,C22&lt;&gt;0),(C22-B22)/ABS(B22),0)</f>
        <v>3.64044943820225</v>
      </c>
      <c r="E22" s="39"/>
    </row>
    <row r="23" customFormat="false" ht="7.5" hidden="false" customHeight="true" outlineLevel="0" collapsed="false"/>
    <row r="24" customFormat="false" ht="18" hidden="false" customHeight="true" outlineLevel="0" collapsed="false">
      <c r="A24" s="54" t="s">
        <v>155</v>
      </c>
      <c r="E24" s="39"/>
    </row>
    <row r="25" customFormat="false" ht="18" hidden="false" customHeight="true" outlineLevel="0" collapsed="false">
      <c r="A25" s="55" t="s">
        <v>156</v>
      </c>
      <c r="B25" s="56" t="n">
        <f aca="false">SUM('Monthly P&amp;L'!B33:M33)</f>
        <v>-87.234</v>
      </c>
      <c r="C25" s="56" t="n">
        <f aca="false">SUM('Monthly P&amp;L'!N33:Y33)</f>
        <v>9098.34</v>
      </c>
      <c r="D25" s="41" t="n">
        <f aca="false">IF(AND(B25&lt;&gt;0,C25&lt;&gt;0),(C25-B25)/ABS(B25),0)</f>
        <v>105.298094779558</v>
      </c>
      <c r="E25" s="39" t="s">
        <v>157</v>
      </c>
    </row>
    <row r="26" customFormat="false" ht="18" hidden="false" customHeight="true" outlineLevel="0" collapsed="false">
      <c r="A26" s="55" t="s">
        <v>127</v>
      </c>
      <c r="B26" s="57" t="n">
        <f aca="false">IF(B13&gt;0,B22/B13,0)</f>
        <v>0</v>
      </c>
      <c r="C26" s="57" t="n">
        <f aca="false">IF(C13&gt;0,C22/C13,0)</f>
        <v>6.62244897959184</v>
      </c>
      <c r="D26" s="41" t="n">
        <f aca="false">IF(AND(B26&lt;&gt;0,C26&lt;&gt;0),(C26-B26)/ABS(B26),0)</f>
        <v>0</v>
      </c>
      <c r="E26" s="39" t="s">
        <v>158</v>
      </c>
    </row>
    <row r="27" customFormat="false" ht="18" hidden="false" customHeight="true" outlineLevel="0" collapsed="false">
      <c r="A27" s="47" t="s">
        <v>159</v>
      </c>
      <c r="B27" s="52" t="n">
        <f aca="false">SUM('Monthly P&amp;L'!B35:M35)</f>
        <v>-762.234</v>
      </c>
      <c r="C27" s="52" t="n">
        <f aca="false">SUM('Monthly P&amp;L'!N35:Y35)</f>
        <v>7718.34</v>
      </c>
      <c r="D27" s="41" t="n">
        <f aca="false">IF(AND(B27&lt;&gt;0,C27&lt;&gt;0),(C27-B27)/ABS(B27),0)</f>
        <v>11.1259455757681</v>
      </c>
      <c r="E27" s="39" t="s">
        <v>160</v>
      </c>
    </row>
    <row r="28" customFormat="false" ht="18" hidden="false" customHeight="true" outlineLevel="0" collapsed="false">
      <c r="A28" s="58" t="s">
        <v>161</v>
      </c>
      <c r="B28" s="59" t="n">
        <f aca="false">IFERROR(MATCH(TRUE(),'Monthly P&amp;L'!B36:Y36&gt;=0,0),"N/A")</f>
        <v>16</v>
      </c>
      <c r="E28" s="39" t="s">
        <v>162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</cols>
  <sheetData>
    <row r="1" customFormat="false" ht="31.5" hidden="false" customHeight="true" outlineLevel="0" collapsed="false">
      <c r="A1" s="20" t="s">
        <v>163</v>
      </c>
      <c r="B1" s="20"/>
      <c r="C1" s="20"/>
      <c r="D1" s="20"/>
      <c r="E1" s="20"/>
      <c r="F1" s="20"/>
      <c r="G1" s="20"/>
      <c r="H1" s="20"/>
    </row>
    <row r="3" customFormat="false" ht="15" hidden="false" customHeight="true" outlineLevel="0" collapsed="false">
      <c r="A3" s="4" t="s">
        <v>164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3</v>
      </c>
      <c r="B4" s="5" t="s">
        <v>165</v>
      </c>
      <c r="C4" s="5" t="s">
        <v>166</v>
      </c>
      <c r="D4" s="5" t="s">
        <v>167</v>
      </c>
      <c r="E4" s="5" t="s">
        <v>168</v>
      </c>
      <c r="F4" s="5" t="s">
        <v>169</v>
      </c>
      <c r="G4" s="5" t="s">
        <v>170</v>
      </c>
      <c r="H4" s="5" t="s">
        <v>171</v>
      </c>
    </row>
    <row r="5" customFormat="false" ht="15" hidden="false" customHeight="true" outlineLevel="0" collapsed="false">
      <c r="A5" s="6" t="s">
        <v>7</v>
      </c>
      <c r="B5" s="60" t="n">
        <f aca="false">Assumptions!B6</f>
        <v>0</v>
      </c>
      <c r="C5" s="60" t="n">
        <f aca="false">Assumptions!C6*Assumptions!B17</f>
        <v>2</v>
      </c>
      <c r="D5" s="61" t="n">
        <f aca="false">0</f>
        <v>0</v>
      </c>
      <c r="E5" s="62" t="n">
        <f aca="false">B5-C5-D5</f>
        <v>-2</v>
      </c>
      <c r="F5" s="63"/>
      <c r="G5" s="64"/>
      <c r="H5" s="65"/>
    </row>
    <row r="6" customFormat="false" ht="15" hidden="false" customHeight="true" outlineLevel="0" collapsed="false">
      <c r="A6" s="10" t="s">
        <v>172</v>
      </c>
      <c r="B6" s="60" t="n">
        <f aca="false">Assumptions!B7</f>
        <v>19</v>
      </c>
      <c r="C6" s="60" t="n">
        <f aca="false">Assumptions!C7*Assumptions!B17</f>
        <v>8</v>
      </c>
      <c r="D6" s="61" t="n">
        <f aca="false">B6*Assumptions!B46+Assumptions!B47</f>
        <v>0.851</v>
      </c>
      <c r="E6" s="66" t="n">
        <f aca="false">B6-C6-D6</f>
        <v>10.149</v>
      </c>
      <c r="F6" s="67" t="n">
        <f aca="false">IF(B6&gt;0,(B6-C6)/B6,0)</f>
        <v>0.578947368421053</v>
      </c>
      <c r="G6" s="64" t="n">
        <f aca="false">MAX(0, E6*18*(1-0.05))</f>
        <v>173.5479</v>
      </c>
      <c r="H6" s="65" t="n">
        <f aca="false">IF(B6&gt;0,C6/B6,0)</f>
        <v>0.421052631578947</v>
      </c>
    </row>
    <row r="7" customFormat="false" ht="15" hidden="false" customHeight="true" outlineLevel="0" collapsed="false">
      <c r="A7" s="6" t="s">
        <v>173</v>
      </c>
      <c r="B7" s="60" t="n">
        <f aca="false">Assumptions!B8</f>
        <v>49</v>
      </c>
      <c r="C7" s="60" t="n">
        <f aca="false">Assumptions!C8*Assumptions!B17</f>
        <v>24</v>
      </c>
      <c r="D7" s="61" t="n">
        <f aca="false">B7*Assumptions!B46+Assumptions!B47</f>
        <v>1.721</v>
      </c>
      <c r="E7" s="66" t="n">
        <f aca="false">B7-C7-D7</f>
        <v>23.279</v>
      </c>
      <c r="F7" s="67" t="n">
        <f aca="false">IF(B7&gt;0,(B7-C7)/B7,0)</f>
        <v>0.510204081632653</v>
      </c>
      <c r="G7" s="64" t="n">
        <f aca="false">MAX(0, E7*18*(1-0.03))</f>
        <v>406.45134</v>
      </c>
      <c r="H7" s="65" t="n">
        <f aca="false">IF(B7&gt;0,C7/B7,0)</f>
        <v>0.489795918367347</v>
      </c>
    </row>
    <row r="8" customFormat="false" ht="15" hidden="false" customHeight="true" outlineLevel="0" collapsed="false">
      <c r="A8" s="6" t="s">
        <v>174</v>
      </c>
      <c r="B8" s="60" t="n">
        <f aca="false">Assumptions!B9</f>
        <v>149</v>
      </c>
      <c r="C8" s="60" t="n">
        <f aca="false">Assumptions!C9*Assumptions!B17</f>
        <v>80</v>
      </c>
      <c r="D8" s="61" t="n">
        <f aca="false">B8*Assumptions!B46+Assumptions!B47</f>
        <v>4.621</v>
      </c>
      <c r="E8" s="66" t="n">
        <f aca="false">B8-C8-D8</f>
        <v>64.379</v>
      </c>
      <c r="F8" s="67" t="n">
        <f aca="false">IF(B8&gt;0,(B8-C8)/B8,0)</f>
        <v>0.463087248322148</v>
      </c>
      <c r="G8" s="64" t="n">
        <f aca="false">MAX(0, E8*18*(1-0.02))</f>
        <v>1135.64556</v>
      </c>
      <c r="H8" s="65" t="n">
        <f aca="false">IF(B8&gt;0,C8/B8,0)</f>
        <v>0.536912751677852</v>
      </c>
    </row>
    <row r="11" customFormat="false" ht="15" hidden="false" customHeight="true" outlineLevel="0" collapsed="false">
      <c r="A11" s="4" t="s">
        <v>175</v>
      </c>
      <c r="B11" s="4"/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A12" s="68" t="s">
        <v>176</v>
      </c>
      <c r="B12" s="69" t="s">
        <v>9</v>
      </c>
      <c r="C12" s="70" t="s">
        <v>11</v>
      </c>
      <c r="D12" s="68" t="s">
        <v>13</v>
      </c>
      <c r="E12" s="22" t="s">
        <v>177</v>
      </c>
      <c r="F12" s="22" t="s">
        <v>178</v>
      </c>
      <c r="G12" s="22" t="s">
        <v>168</v>
      </c>
      <c r="H12" s="22" t="s">
        <v>179</v>
      </c>
    </row>
    <row r="13" customFormat="false" ht="15" hidden="false" customHeight="true" outlineLevel="0" collapsed="false">
      <c r="A13" s="71" t="n">
        <v>0</v>
      </c>
      <c r="B13" s="71" t="n">
        <v>3</v>
      </c>
      <c r="C13" s="71" t="n">
        <v>0</v>
      </c>
      <c r="D13" s="71" t="n">
        <v>0</v>
      </c>
      <c r="E13" s="72" t="n">
        <f aca="false">B13*Assumptions!B7+C13*Assumptions!B8+D13*Assumptions!B9</f>
        <v>57</v>
      </c>
      <c r="F13" s="73" t="n">
        <f aca="false">A13*Assumptions!C6*Assumptions!B17+B13*Assumptions!C7*Assumptions!B17+C13*Assumptions!C8*Assumptions!B17+D13*Assumptions!C9*Assumptions!B17</f>
        <v>24</v>
      </c>
      <c r="G13" s="74" t="n">
        <f aca="false">E13-F13-35-E13*Assumptions!B46-(B13+C13+D13)*Assumptions!B47</f>
        <v>-4.553</v>
      </c>
      <c r="H13" s="75" t="str">
        <f aca="false">IF(G13&gt;0,"✓ Profitable","✗ Loss")</f>
        <v>✗ Loss</v>
      </c>
    </row>
    <row r="14" customFormat="false" ht="15" hidden="false" customHeight="true" outlineLevel="0" collapsed="false">
      <c r="A14" s="71" t="n">
        <v>0</v>
      </c>
      <c r="B14" s="71" t="n">
        <v>5</v>
      </c>
      <c r="C14" s="71" t="n">
        <v>0</v>
      </c>
      <c r="D14" s="71" t="n">
        <v>0</v>
      </c>
      <c r="E14" s="72" t="n">
        <f aca="false">B14*Assumptions!B7+C14*Assumptions!B8+D14*Assumptions!B9</f>
        <v>95</v>
      </c>
      <c r="F14" s="73" t="n">
        <f aca="false">A14*Assumptions!C6*Assumptions!B17+B14*Assumptions!C7*Assumptions!B17+C14*Assumptions!C8*Assumptions!B17+D14*Assumptions!C9*Assumptions!B17</f>
        <v>40</v>
      </c>
      <c r="G14" s="76" t="n">
        <f aca="false">E14-F14-35-E14*Assumptions!B46-(B14+C14+D14)*Assumptions!B47</f>
        <v>15.745</v>
      </c>
      <c r="H14" s="77" t="str">
        <f aca="false">IF(G14&gt;0,"✓ Profitable","✗ Loss")</f>
        <v>✓ Profitable</v>
      </c>
    </row>
    <row r="15" customFormat="false" ht="15" hidden="false" customHeight="true" outlineLevel="0" collapsed="false">
      <c r="A15" s="71" t="n">
        <v>0</v>
      </c>
      <c r="B15" s="71" t="n">
        <v>10</v>
      </c>
      <c r="C15" s="71" t="n">
        <v>0</v>
      </c>
      <c r="D15" s="71" t="n">
        <v>0</v>
      </c>
      <c r="E15" s="72" t="n">
        <f aca="false">B15*Assumptions!B7+C15*Assumptions!B8+D15*Assumptions!B9</f>
        <v>190</v>
      </c>
      <c r="F15" s="73" t="n">
        <f aca="false">A15*Assumptions!C6*Assumptions!B17+B15*Assumptions!C7*Assumptions!B17+C15*Assumptions!C8*Assumptions!B17+D15*Assumptions!C9*Assumptions!B17</f>
        <v>80</v>
      </c>
      <c r="G15" s="76" t="n">
        <f aca="false">E15-F15-35-E15*Assumptions!B46-(B15+C15+D15)*Assumptions!B47</f>
        <v>66.49</v>
      </c>
      <c r="H15" s="77" t="str">
        <f aca="false">IF(G15&gt;0,"✓ Profitable","✗ Loss")</f>
        <v>✓ Profitable</v>
      </c>
    </row>
    <row r="16" customFormat="false" ht="15" hidden="false" customHeight="true" outlineLevel="0" collapsed="false">
      <c r="A16" s="71" t="n">
        <v>10</v>
      </c>
      <c r="B16" s="71" t="n">
        <v>5</v>
      </c>
      <c r="C16" s="71" t="n">
        <v>1</v>
      </c>
      <c r="D16" s="71" t="n">
        <v>0</v>
      </c>
      <c r="E16" s="72" t="n">
        <f aca="false">B16*Assumptions!B7+C16*Assumptions!B8+D16*Assumptions!B9</f>
        <v>144</v>
      </c>
      <c r="F16" s="73" t="n">
        <f aca="false">A16*Assumptions!C6*Assumptions!B17+B16*Assumptions!C7*Assumptions!B17+C16*Assumptions!C8*Assumptions!B17+D16*Assumptions!C9*Assumptions!B17</f>
        <v>84</v>
      </c>
      <c r="G16" s="76" t="n">
        <f aca="false">E16-F16-35-E16*Assumptions!B46-(B16+C16+D16)*Assumptions!B47</f>
        <v>19.024</v>
      </c>
      <c r="H16" s="77" t="str">
        <f aca="false">IF(G16&gt;0,"✓ Profitable","✗ Loss")</f>
        <v>✓ Profitable</v>
      </c>
    </row>
    <row r="17" customFormat="false" ht="15" hidden="false" customHeight="true" outlineLevel="0" collapsed="false">
      <c r="A17" s="71" t="n">
        <v>10</v>
      </c>
      <c r="B17" s="71" t="n">
        <v>10</v>
      </c>
      <c r="C17" s="71" t="n">
        <v>3</v>
      </c>
      <c r="D17" s="71" t="n">
        <v>1</v>
      </c>
      <c r="E17" s="72" t="n">
        <f aca="false">B17*Assumptions!B7+C17*Assumptions!B8+D17*Assumptions!B9</f>
        <v>486</v>
      </c>
      <c r="F17" s="73" t="n">
        <f aca="false">A17*Assumptions!C6*Assumptions!B17+B17*Assumptions!C7*Assumptions!B17+C17*Assumptions!C8*Assumptions!B17+D17*Assumptions!C9*Assumptions!B17</f>
        <v>252</v>
      </c>
      <c r="G17" s="76" t="n">
        <f aca="false">E17-F17-35-E17*Assumptions!B46-(B17+C17+D17)*Assumptions!B47</f>
        <v>180.706</v>
      </c>
      <c r="H17" s="77" t="str">
        <f aca="false">IF(G17&gt;0,"✓ Profitable","✗ Loss")</f>
        <v>✓ Profitable</v>
      </c>
    </row>
    <row r="18" customFormat="false" ht="15" hidden="false" customHeight="true" outlineLevel="0" collapsed="false">
      <c r="A18" s="71" t="n">
        <v>20</v>
      </c>
      <c r="B18" s="71" t="n">
        <v>15</v>
      </c>
      <c r="C18" s="71" t="n">
        <v>5</v>
      </c>
      <c r="D18" s="71" t="n">
        <v>2</v>
      </c>
      <c r="E18" s="72" t="n">
        <f aca="false">B18*Assumptions!B7+C18*Assumptions!B8+D18*Assumptions!B9</f>
        <v>828</v>
      </c>
      <c r="F18" s="73" t="n">
        <f aca="false">A18*Assumptions!C6*Assumptions!B17+B18*Assumptions!C7*Assumptions!B17+C18*Assumptions!C8*Assumptions!B17+D18*Assumptions!C9*Assumptions!B17</f>
        <v>440</v>
      </c>
      <c r="G18" s="76" t="n">
        <f aca="false">E18-F18-35-E18*Assumptions!B46-(B18+C18+D18)*Assumptions!B47</f>
        <v>322.388</v>
      </c>
      <c r="H18" s="77" t="str">
        <f aca="false">IF(G18&gt;0,"✓ Profitable","✗ Loss")</f>
        <v>✓ Profitable</v>
      </c>
    </row>
    <row r="19" customFormat="false" ht="15" hidden="false" customHeight="true" outlineLevel="0" collapsed="false">
      <c r="A19" s="71" t="n">
        <v>50</v>
      </c>
      <c r="B19" s="71" t="n">
        <v>20</v>
      </c>
      <c r="C19" s="71" t="n">
        <v>8</v>
      </c>
      <c r="D19" s="71" t="n">
        <v>2</v>
      </c>
      <c r="E19" s="72" t="n">
        <f aca="false">B19*Assumptions!B7+C19*Assumptions!B8+D19*Assumptions!B9</f>
        <v>1070</v>
      </c>
      <c r="F19" s="73" t="n">
        <f aca="false">A19*Assumptions!C6*Assumptions!B17+B19*Assumptions!C7*Assumptions!B17+C19*Assumptions!C8*Assumptions!B17+D19*Assumptions!C9*Assumptions!B17</f>
        <v>612</v>
      </c>
      <c r="G19" s="76" t="n">
        <f aca="false">E19-F19-35-E19*Assumptions!B46-(B19+C19+D19)*Assumptions!B47</f>
        <v>382.97</v>
      </c>
      <c r="H19" s="77" t="str">
        <f aca="false">IF(G19&gt;0,"✓ Profitable","✗ Loss")</f>
        <v>✓ Profitable</v>
      </c>
    </row>
    <row r="20" customFormat="false" ht="15" hidden="false" customHeight="true" outlineLevel="0" collapsed="false">
      <c r="A20" s="71" t="n">
        <v>100</v>
      </c>
      <c r="B20" s="71" t="n">
        <v>30</v>
      </c>
      <c r="C20" s="71" t="n">
        <v>12</v>
      </c>
      <c r="D20" s="71" t="n">
        <v>3</v>
      </c>
      <c r="E20" s="72" t="n">
        <f aca="false">B20*Assumptions!B7+C20*Assumptions!B8+D20*Assumptions!B9</f>
        <v>1605</v>
      </c>
      <c r="F20" s="73" t="n">
        <f aca="false">A20*Assumptions!C6*Assumptions!B17+B20*Assumptions!C7*Assumptions!B17+C20*Assumptions!C8*Assumptions!B17+D20*Assumptions!C9*Assumptions!B17</f>
        <v>968</v>
      </c>
      <c r="G20" s="76" t="n">
        <f aca="false">E20-F20-35-E20*Assumptions!B46-(B20+C20+D20)*Assumptions!B47</f>
        <v>541.955</v>
      </c>
      <c r="H20" s="77" t="str">
        <f aca="false">IF(G20&gt;0,"✓ Profitable","✗ Loss")</f>
        <v>✓ Profitable</v>
      </c>
    </row>
    <row r="21" customFormat="false" ht="15" hidden="false" customHeight="true" outlineLevel="0" collapsed="false">
      <c r="A21" s="71" t="n">
        <v>0</v>
      </c>
      <c r="B21" s="71" t="n">
        <v>50</v>
      </c>
      <c r="C21" s="71" t="n">
        <v>20</v>
      </c>
      <c r="D21" s="71" t="n">
        <v>5</v>
      </c>
      <c r="E21" s="72" t="n">
        <f aca="false">B21*Assumptions!B7+C21*Assumptions!B8+D21*Assumptions!B9</f>
        <v>2675</v>
      </c>
      <c r="F21" s="73" t="n">
        <f aca="false">A21*Assumptions!C6*Assumptions!B17+B21*Assumptions!C7*Assumptions!B17+C21*Assumptions!C8*Assumptions!B17+D21*Assumptions!C9*Assumptions!B17</f>
        <v>1280</v>
      </c>
      <c r="G21" s="76" t="n">
        <f aca="false">E21-F21-35-E21*Assumptions!B46-(B21+C21+D21)*Assumptions!B47</f>
        <v>1259.925</v>
      </c>
      <c r="H21" s="77" t="str">
        <f aca="false">IF(G21&gt;0,"✓ Profitable","✗ Loss")</f>
        <v>✓ Profitable</v>
      </c>
    </row>
    <row r="22" customFormat="false" ht="15" hidden="false" customHeight="true" outlineLevel="0" collapsed="false">
      <c r="A22" s="71" t="n">
        <v>0</v>
      </c>
      <c r="B22" s="71" t="n">
        <v>100</v>
      </c>
      <c r="C22" s="71" t="n">
        <v>30</v>
      </c>
      <c r="D22" s="71" t="n">
        <v>8</v>
      </c>
      <c r="E22" s="72" t="n">
        <f aca="false">B22*Assumptions!B7+C22*Assumptions!B8+D22*Assumptions!B9</f>
        <v>4562</v>
      </c>
      <c r="F22" s="73" t="n">
        <f aca="false">A22*Assumptions!C6*Assumptions!B17+B22*Assumptions!C7*Assumptions!B17+C22*Assumptions!C8*Assumptions!B17+D22*Assumptions!C9*Assumptions!B17</f>
        <v>2160</v>
      </c>
      <c r="G22" s="76" t="n">
        <f aca="false">E22-F22-35-E22*Assumptions!B46-(B22+C22+D22)*Assumptions!B47</f>
        <v>2193.302</v>
      </c>
      <c r="H22" s="77" t="str">
        <f aca="false">IF(G22&gt;0,"✓ Profitable","✗ Loss")</f>
        <v>✓ Profitable</v>
      </c>
    </row>
    <row r="23" customFormat="false" ht="15" hidden="false" customHeight="true" outlineLevel="0" collapsed="false">
      <c r="A23" s="71" t="n">
        <v>0</v>
      </c>
      <c r="B23" s="71" t="n">
        <v>200</v>
      </c>
      <c r="C23" s="71" t="n">
        <v>50</v>
      </c>
      <c r="D23" s="71" t="n">
        <v>15</v>
      </c>
      <c r="E23" s="72" t="n">
        <f aca="false">B23*Assumptions!B7+C23*Assumptions!B8+D23*Assumptions!B9</f>
        <v>8485</v>
      </c>
      <c r="F23" s="73" t="n">
        <f aca="false">A23*Assumptions!C6*Assumptions!B17+B23*Assumptions!C7*Assumptions!B17+C23*Assumptions!C8*Assumptions!B17+D23*Assumptions!C9*Assumptions!B17</f>
        <v>4000</v>
      </c>
      <c r="G23" s="76" t="n">
        <f aca="false">E23-F23-35-E23*Assumptions!B46-(B23+C23+D23)*Assumptions!B47</f>
        <v>4124.435</v>
      </c>
      <c r="H23" s="77" t="str">
        <f aca="false">IF(G23&gt;0,"✓ Profitable","✗ Loss")</f>
        <v>✓ Profitable</v>
      </c>
    </row>
    <row r="24" customFormat="false" ht="15" hidden="false" customHeight="true" outlineLevel="0" collapsed="false">
      <c r="A24" s="71" t="n">
        <v>0</v>
      </c>
      <c r="B24" s="71" t="n">
        <v>300</v>
      </c>
      <c r="C24" s="71" t="n">
        <v>100</v>
      </c>
      <c r="D24" s="71" t="n">
        <v>25</v>
      </c>
      <c r="E24" s="72" t="n">
        <f aca="false">B24*Assumptions!B7+C24*Assumptions!B8+D24*Assumptions!B9</f>
        <v>14325</v>
      </c>
      <c r="F24" s="73" t="n">
        <f aca="false">A24*Assumptions!C6*Assumptions!B17+B24*Assumptions!C7*Assumptions!B17+C24*Assumptions!C8*Assumptions!B17+D24*Assumptions!C9*Assumptions!B17</f>
        <v>6800</v>
      </c>
      <c r="G24" s="76" t="n">
        <f aca="false">E24-F24-35-E24*Assumptions!B46-(B24+C24+D24)*Assumptions!B47</f>
        <v>6947.075</v>
      </c>
      <c r="H24" s="77" t="str">
        <f aca="false">IF(G24&gt;0,"✓ Profitable","✗ Loss")</f>
        <v>✓ Profitable</v>
      </c>
    </row>
    <row r="26" customFormat="false" ht="24" hidden="false" customHeight="true" outlineLevel="0" collapsed="false">
      <c r="A26" s="4" t="s">
        <v>180</v>
      </c>
      <c r="B26" s="4"/>
      <c r="C26" s="4"/>
      <c r="D26" s="4"/>
      <c r="E26" s="4"/>
      <c r="F26" s="4"/>
      <c r="G26" s="4"/>
      <c r="H26" s="4"/>
    </row>
  </sheetData>
  <mergeCells count="4">
    <mergeCell ref="A1:H1"/>
    <mergeCell ref="A3:H3"/>
    <mergeCell ref="A11:H11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6"/>
    <col collapsed="false" customWidth="true" hidden="false" outlineLevel="0" max="7" min="5" style="1" width="18"/>
    <col collapsed="false" customWidth="true" hidden="false" outlineLevel="0" max="8" min="8" style="1" width="22"/>
  </cols>
  <sheetData>
    <row r="1" customFormat="false" ht="31.5" hidden="false" customHeight="true" outlineLevel="0" collapsed="false">
      <c r="A1" s="20" t="s">
        <v>181</v>
      </c>
      <c r="B1" s="20"/>
      <c r="C1" s="20"/>
      <c r="D1" s="20"/>
      <c r="E1" s="20"/>
      <c r="F1" s="20"/>
      <c r="G1" s="20"/>
      <c r="H1" s="20"/>
    </row>
    <row r="2" customFormat="false" ht="15" hidden="false" customHeight="true" outlineLevel="0" collapsed="false">
      <c r="A2" s="78" t="s">
        <v>182</v>
      </c>
      <c r="B2" s="78"/>
      <c r="C2" s="78"/>
      <c r="D2" s="78"/>
      <c r="E2" s="78"/>
      <c r="F2" s="78"/>
      <c r="G2" s="78"/>
      <c r="H2" s="78"/>
    </row>
    <row r="4" customFormat="false" ht="15" hidden="false" customHeight="true" outlineLevel="0" collapsed="false">
      <c r="A4" s="22" t="s">
        <v>183</v>
      </c>
      <c r="B4" s="68" t="s">
        <v>184</v>
      </c>
      <c r="C4" s="69" t="s">
        <v>185</v>
      </c>
      <c r="D4" s="70" t="s">
        <v>186</v>
      </c>
      <c r="E4" s="68" t="s">
        <v>187</v>
      </c>
      <c r="F4" s="79" t="s">
        <v>188</v>
      </c>
      <c r="G4" s="79" t="s">
        <v>189</v>
      </c>
      <c r="H4" s="22" t="s">
        <v>190</v>
      </c>
    </row>
    <row r="5" customFormat="false" ht="18" hidden="false" customHeight="true" outlineLevel="0" collapsed="false">
      <c r="A5" s="80" t="s">
        <v>77</v>
      </c>
      <c r="B5" s="46" t="n">
        <v>0</v>
      </c>
      <c r="C5" s="46" t="n">
        <v>3</v>
      </c>
      <c r="D5" s="46" t="n">
        <v>0</v>
      </c>
      <c r="E5" s="46" t="n">
        <v>0</v>
      </c>
      <c r="F5" s="81" t="s">
        <v>191</v>
      </c>
      <c r="G5" s="81" t="s">
        <v>192</v>
      </c>
      <c r="H5" s="82" t="s">
        <v>193</v>
      </c>
    </row>
    <row r="6" customFormat="false" ht="18" hidden="false" customHeight="true" outlineLevel="0" collapsed="false">
      <c r="A6" s="80" t="s">
        <v>78</v>
      </c>
      <c r="B6" s="46" t="n">
        <v>5</v>
      </c>
      <c r="C6" s="46" t="n">
        <v>5</v>
      </c>
      <c r="D6" s="46" t="n">
        <v>1</v>
      </c>
      <c r="E6" s="46" t="n">
        <v>0</v>
      </c>
      <c r="F6" s="81" t="s">
        <v>194</v>
      </c>
      <c r="G6" s="81" t="s">
        <v>195</v>
      </c>
      <c r="H6" s="82" t="s">
        <v>196</v>
      </c>
    </row>
    <row r="7" customFormat="false" ht="18" hidden="false" customHeight="true" outlineLevel="0" collapsed="false">
      <c r="A7" s="80" t="s">
        <v>79</v>
      </c>
      <c r="B7" s="46" t="n">
        <v>10</v>
      </c>
      <c r="C7" s="46" t="n">
        <v>8</v>
      </c>
      <c r="D7" s="46" t="n">
        <v>2</v>
      </c>
      <c r="E7" s="46" t="n">
        <v>0</v>
      </c>
      <c r="F7" s="81" t="s">
        <v>197</v>
      </c>
      <c r="G7" s="81" t="s">
        <v>198</v>
      </c>
      <c r="H7" s="82"/>
    </row>
    <row r="8" customFormat="false" ht="21.75" hidden="false" customHeight="true" outlineLevel="0" collapsed="false">
      <c r="A8" s="83" t="s">
        <v>80</v>
      </c>
      <c r="B8" s="84" t="n">
        <v>10</v>
      </c>
      <c r="C8" s="84" t="n">
        <v>10</v>
      </c>
      <c r="D8" s="84" t="n">
        <v>3</v>
      </c>
      <c r="E8" s="84" t="n">
        <v>1</v>
      </c>
      <c r="F8" s="85" t="s">
        <v>199</v>
      </c>
      <c r="G8" s="85" t="s">
        <v>200</v>
      </c>
      <c r="H8" s="86" t="s">
        <v>201</v>
      </c>
    </row>
    <row r="9" customFormat="false" ht="18" hidden="false" customHeight="true" outlineLevel="0" collapsed="false">
      <c r="A9" s="80" t="s">
        <v>81</v>
      </c>
      <c r="B9" s="46" t="n">
        <v>15</v>
      </c>
      <c r="C9" s="46" t="n">
        <v>12</v>
      </c>
      <c r="D9" s="46" t="n">
        <v>4</v>
      </c>
      <c r="E9" s="46" t="n">
        <v>1</v>
      </c>
      <c r="F9" s="81" t="s">
        <v>202</v>
      </c>
      <c r="G9" s="81" t="s">
        <v>203</v>
      </c>
      <c r="H9" s="82" t="s">
        <v>204</v>
      </c>
    </row>
    <row r="10" customFormat="false" ht="18" hidden="false" customHeight="true" outlineLevel="0" collapsed="false">
      <c r="A10" s="80" t="s">
        <v>82</v>
      </c>
      <c r="B10" s="46" t="n">
        <v>20</v>
      </c>
      <c r="C10" s="46" t="n">
        <v>15</v>
      </c>
      <c r="D10" s="46" t="n">
        <v>5</v>
      </c>
      <c r="E10" s="46" t="n">
        <v>2</v>
      </c>
      <c r="F10" s="81" t="s">
        <v>205</v>
      </c>
      <c r="G10" s="81" t="s">
        <v>206</v>
      </c>
      <c r="H10" s="82" t="s">
        <v>207</v>
      </c>
    </row>
    <row r="11" customFormat="false" ht="18" hidden="false" customHeight="true" outlineLevel="0" collapsed="false">
      <c r="A11" s="80" t="s">
        <v>83</v>
      </c>
      <c r="B11" s="46" t="n">
        <v>25</v>
      </c>
      <c r="C11" s="46" t="n">
        <v>18</v>
      </c>
      <c r="D11" s="46" t="n">
        <v>6</v>
      </c>
      <c r="E11" s="46" t="n">
        <v>2</v>
      </c>
      <c r="F11" s="81" t="s">
        <v>208</v>
      </c>
      <c r="G11" s="81" t="s">
        <v>209</v>
      </c>
      <c r="H11" s="82"/>
    </row>
    <row r="12" customFormat="false" ht="18" hidden="false" customHeight="true" outlineLevel="0" collapsed="false">
      <c r="A12" s="80" t="s">
        <v>84</v>
      </c>
      <c r="B12" s="46" t="n">
        <v>30</v>
      </c>
      <c r="C12" s="46" t="n">
        <v>20</v>
      </c>
      <c r="D12" s="46" t="n">
        <v>8</v>
      </c>
      <c r="E12" s="46" t="n">
        <v>3</v>
      </c>
      <c r="F12" s="81" t="s">
        <v>210</v>
      </c>
      <c r="G12" s="81" t="s">
        <v>211</v>
      </c>
      <c r="H12" s="82"/>
    </row>
    <row r="13" customFormat="false" ht="18" hidden="false" customHeight="true" outlineLevel="0" collapsed="false">
      <c r="A13" s="80" t="s">
        <v>85</v>
      </c>
      <c r="B13" s="46" t="n">
        <v>40</v>
      </c>
      <c r="C13" s="46" t="n">
        <v>25</v>
      </c>
      <c r="D13" s="46" t="n">
        <v>10</v>
      </c>
      <c r="E13" s="46" t="n">
        <v>3</v>
      </c>
      <c r="F13" s="81" t="s">
        <v>212</v>
      </c>
      <c r="G13" s="81" t="s">
        <v>213</v>
      </c>
      <c r="H13" s="82" t="s">
        <v>214</v>
      </c>
    </row>
    <row r="14" customFormat="false" ht="21.75" hidden="false" customHeight="true" outlineLevel="0" collapsed="false">
      <c r="A14" s="83" t="s">
        <v>86</v>
      </c>
      <c r="B14" s="84" t="n">
        <v>50</v>
      </c>
      <c r="C14" s="84" t="n">
        <v>30</v>
      </c>
      <c r="D14" s="84" t="n">
        <v>12</v>
      </c>
      <c r="E14" s="84" t="n">
        <v>4</v>
      </c>
      <c r="F14" s="85" t="s">
        <v>215</v>
      </c>
      <c r="G14" s="85" t="s">
        <v>216</v>
      </c>
      <c r="H14" s="86" t="s">
        <v>217</v>
      </c>
    </row>
    <row r="15" customFormat="false" ht="18" hidden="false" customHeight="true" outlineLevel="0" collapsed="false">
      <c r="A15" s="80" t="s">
        <v>87</v>
      </c>
      <c r="B15" s="46" t="n">
        <v>60</v>
      </c>
      <c r="C15" s="46" t="n">
        <v>35</v>
      </c>
      <c r="D15" s="46" t="n">
        <v>14</v>
      </c>
      <c r="E15" s="46" t="n">
        <v>5</v>
      </c>
      <c r="F15" s="81" t="s">
        <v>218</v>
      </c>
      <c r="G15" s="81" t="s">
        <v>219</v>
      </c>
      <c r="H15" s="82"/>
    </row>
    <row r="16" customFormat="false" ht="18" hidden="false" customHeight="true" outlineLevel="0" collapsed="false">
      <c r="A16" s="80" t="s">
        <v>88</v>
      </c>
      <c r="B16" s="46" t="n">
        <v>80</v>
      </c>
      <c r="C16" s="46" t="n">
        <v>40</v>
      </c>
      <c r="D16" s="46" t="n">
        <v>16</v>
      </c>
      <c r="E16" s="46" t="n">
        <v>5</v>
      </c>
      <c r="F16" s="81" t="s">
        <v>220</v>
      </c>
      <c r="G16" s="81" t="s">
        <v>221</v>
      </c>
      <c r="H16" s="82" t="s">
        <v>222</v>
      </c>
    </row>
    <row r="17" customFormat="false" ht="18" hidden="false" customHeight="true" outlineLevel="0" collapsed="false">
      <c r="A17" s="80" t="s">
        <v>89</v>
      </c>
      <c r="B17" s="46" t="n">
        <v>80</v>
      </c>
      <c r="C17" s="46" t="n">
        <v>55</v>
      </c>
      <c r="D17" s="46" t="n">
        <v>20</v>
      </c>
      <c r="E17" s="46" t="n">
        <v>7</v>
      </c>
      <c r="F17" s="81" t="s">
        <v>223</v>
      </c>
      <c r="G17" s="81" t="s">
        <v>224</v>
      </c>
      <c r="H17" s="82"/>
    </row>
    <row r="18" customFormat="false" ht="18" hidden="false" customHeight="true" outlineLevel="0" collapsed="false">
      <c r="A18" s="80" t="s">
        <v>90</v>
      </c>
      <c r="B18" s="46" t="n">
        <v>80</v>
      </c>
      <c r="C18" s="46" t="n">
        <v>65</v>
      </c>
      <c r="D18" s="46" t="n">
        <v>25</v>
      </c>
      <c r="E18" s="46" t="n">
        <v>8</v>
      </c>
      <c r="F18" s="81" t="s">
        <v>225</v>
      </c>
      <c r="G18" s="81" t="s">
        <v>226</v>
      </c>
      <c r="H18" s="82"/>
    </row>
    <row r="19" customFormat="false" ht="21.75" hidden="false" customHeight="true" outlineLevel="0" collapsed="false">
      <c r="A19" s="83" t="s">
        <v>91</v>
      </c>
      <c r="B19" s="84" t="n">
        <v>80</v>
      </c>
      <c r="C19" s="84" t="n">
        <v>75</v>
      </c>
      <c r="D19" s="84" t="n">
        <v>30</v>
      </c>
      <c r="E19" s="84" t="n">
        <v>10</v>
      </c>
      <c r="F19" s="85" t="s">
        <v>227</v>
      </c>
      <c r="G19" s="85" t="s">
        <v>228</v>
      </c>
      <c r="H19" s="86" t="s">
        <v>229</v>
      </c>
    </row>
    <row r="20" customFormat="false" ht="18" hidden="false" customHeight="true" outlineLevel="0" collapsed="false">
      <c r="A20" s="80" t="s">
        <v>94</v>
      </c>
      <c r="B20" s="46" t="n">
        <v>100</v>
      </c>
      <c r="C20" s="46" t="n">
        <v>90</v>
      </c>
      <c r="D20" s="46" t="n">
        <v>40</v>
      </c>
      <c r="E20" s="46" t="n">
        <v>12</v>
      </c>
      <c r="F20" s="81" t="s">
        <v>230</v>
      </c>
      <c r="G20" s="81" t="s">
        <v>231</v>
      </c>
      <c r="H20" s="82" t="s">
        <v>232</v>
      </c>
    </row>
    <row r="21" customFormat="false" ht="18" hidden="false" customHeight="true" outlineLevel="0" collapsed="false">
      <c r="A21" s="80" t="s">
        <v>97</v>
      </c>
      <c r="B21" s="46" t="n">
        <v>120</v>
      </c>
      <c r="C21" s="46" t="n">
        <v>120</v>
      </c>
      <c r="D21" s="46" t="n">
        <v>55</v>
      </c>
      <c r="E21" s="46" t="n">
        <v>18</v>
      </c>
      <c r="F21" s="81" t="s">
        <v>233</v>
      </c>
      <c r="G21" s="81" t="s">
        <v>234</v>
      </c>
      <c r="H21" s="82"/>
    </row>
    <row r="22" customFormat="false" ht="21.75" hidden="false" customHeight="true" outlineLevel="0" collapsed="false">
      <c r="A22" s="83" t="s">
        <v>100</v>
      </c>
      <c r="B22" s="84" t="n">
        <v>150</v>
      </c>
      <c r="C22" s="84" t="n">
        <v>150</v>
      </c>
      <c r="D22" s="84" t="n">
        <v>70</v>
      </c>
      <c r="E22" s="84" t="n">
        <v>25</v>
      </c>
      <c r="F22" s="85" t="s">
        <v>235</v>
      </c>
      <c r="G22" s="85" t="s">
        <v>236</v>
      </c>
      <c r="H22" s="86" t="s">
        <v>237</v>
      </c>
    </row>
    <row r="24" customFormat="false" ht="24" hidden="false" customHeight="true" outlineLevel="0" collapsed="false">
      <c r="A24" s="4" t="s">
        <v>238</v>
      </c>
      <c r="B24" s="4"/>
      <c r="C24" s="4"/>
      <c r="D24" s="4"/>
      <c r="E24" s="4"/>
      <c r="F24" s="4"/>
      <c r="G24" s="4"/>
      <c r="H24" s="4"/>
    </row>
    <row r="25" customFormat="false" ht="15" hidden="false" customHeight="true" outlineLevel="0" collapsed="false">
      <c r="A25" s="87" t="s">
        <v>239</v>
      </c>
      <c r="B25" s="88" t="n">
        <f aca="false">Assumptions!B7-Assumptions!C7*Assumptions!B17-Assumptions!B7*Assumptions!B46-Assumptions!B47</f>
        <v>10.149</v>
      </c>
    </row>
  </sheetData>
  <mergeCells count="3">
    <mergeCell ref="A1:H1"/>
    <mergeCell ref="A2:H2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20"/>
  </cols>
  <sheetData>
    <row r="1" customFormat="false" ht="31.5" hidden="false" customHeight="true" outlineLevel="0" collapsed="false">
      <c r="A1" s="20" t="s">
        <v>240</v>
      </c>
      <c r="B1" s="20"/>
      <c r="C1" s="20"/>
      <c r="D1" s="20"/>
      <c r="E1" s="20"/>
    </row>
    <row r="3" customFormat="false" ht="15" hidden="false" customHeight="true" outlineLevel="0" collapsed="false">
      <c r="A3" s="21" t="s">
        <v>76</v>
      </c>
      <c r="B3" s="89" t="s">
        <v>28</v>
      </c>
      <c r="C3" s="69" t="s">
        <v>241</v>
      </c>
      <c r="D3" s="90" t="s">
        <v>242</v>
      </c>
      <c r="E3" s="21" t="s">
        <v>243</v>
      </c>
    </row>
    <row r="4" customFormat="false" ht="21.75" hidden="false" customHeight="true" outlineLevel="0" collapsed="false">
      <c r="A4" s="4" t="s">
        <v>244</v>
      </c>
      <c r="B4" s="4"/>
      <c r="C4" s="4"/>
      <c r="D4" s="4"/>
      <c r="E4" s="4"/>
    </row>
    <row r="6" customFormat="false" ht="18" hidden="false" customHeight="true" outlineLevel="0" collapsed="false">
      <c r="A6" s="6" t="s">
        <v>245</v>
      </c>
      <c r="B6" s="91" t="n">
        <v>18</v>
      </c>
      <c r="C6" s="92" t="n">
        <v>38</v>
      </c>
      <c r="D6" s="93" t="n">
        <v>65</v>
      </c>
      <c r="E6" s="39" t="s">
        <v>246</v>
      </c>
    </row>
    <row r="7" customFormat="false" ht="18" hidden="false" customHeight="true" outlineLevel="0" collapsed="false">
      <c r="A7" s="6" t="s">
        <v>247</v>
      </c>
      <c r="B7" s="94" t="s">
        <v>248</v>
      </c>
      <c r="C7" s="95" t="s">
        <v>249</v>
      </c>
      <c r="D7" s="96" t="s">
        <v>250</v>
      </c>
      <c r="E7" s="39" t="s">
        <v>251</v>
      </c>
    </row>
    <row r="8" customFormat="false" ht="18" hidden="false" customHeight="true" outlineLevel="0" collapsed="false">
      <c r="A8" s="6" t="s">
        <v>252</v>
      </c>
      <c r="B8" s="91" t="s">
        <v>253</v>
      </c>
      <c r="C8" s="92" t="s">
        <v>254</v>
      </c>
      <c r="D8" s="93" t="s">
        <v>255</v>
      </c>
      <c r="E8" s="39" t="s">
        <v>256</v>
      </c>
    </row>
    <row r="9" customFormat="false" ht="18" hidden="false" customHeight="true" outlineLevel="0" collapsed="false">
      <c r="A9" s="6" t="s">
        <v>257</v>
      </c>
      <c r="B9" s="91" t="s">
        <v>258</v>
      </c>
      <c r="C9" s="92" t="s">
        <v>259</v>
      </c>
      <c r="D9" s="93" t="s">
        <v>260</v>
      </c>
      <c r="E9" s="39" t="s">
        <v>261</v>
      </c>
    </row>
    <row r="10" customFormat="false" ht="18" hidden="false" customHeight="true" outlineLevel="0" collapsed="false">
      <c r="A10" s="6" t="s">
        <v>262</v>
      </c>
      <c r="B10" s="94" t="s">
        <v>263</v>
      </c>
      <c r="C10" s="95" t="s">
        <v>264</v>
      </c>
      <c r="D10" s="96" t="s">
        <v>265</v>
      </c>
      <c r="E10" s="39" t="s">
        <v>266</v>
      </c>
    </row>
    <row r="11" customFormat="false" ht="18" hidden="false" customHeight="true" outlineLevel="0" collapsed="false">
      <c r="A11" s="6" t="s">
        <v>267</v>
      </c>
      <c r="B11" s="91" t="s">
        <v>92</v>
      </c>
      <c r="C11" s="92" t="s">
        <v>89</v>
      </c>
      <c r="D11" s="93" t="s">
        <v>85</v>
      </c>
      <c r="E11" s="39" t="s">
        <v>268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4" t="s">
        <v>269</v>
      </c>
      <c r="B13" s="4"/>
      <c r="C13" s="4"/>
      <c r="D13" s="4"/>
      <c r="E13" s="4"/>
    </row>
    <row r="14" customFormat="false" ht="18" hidden="false" customHeight="true" outlineLevel="0" collapsed="false">
      <c r="A14" s="6" t="s">
        <v>270</v>
      </c>
      <c r="B14" s="91" t="n">
        <v>55</v>
      </c>
      <c r="C14" s="92" t="n">
        <v>145</v>
      </c>
      <c r="D14" s="93" t="n">
        <v>280</v>
      </c>
      <c r="E14" s="39" t="s">
        <v>271</v>
      </c>
    </row>
    <row r="15" customFormat="false" ht="18" hidden="false" customHeight="true" outlineLevel="0" collapsed="false">
      <c r="A15" s="6" t="s">
        <v>247</v>
      </c>
      <c r="B15" s="94" t="s">
        <v>272</v>
      </c>
      <c r="C15" s="95" t="s">
        <v>273</v>
      </c>
      <c r="D15" s="96" t="s">
        <v>274</v>
      </c>
      <c r="E15" s="39" t="s">
        <v>275</v>
      </c>
    </row>
    <row r="16" customFormat="false" ht="18" hidden="false" customHeight="true" outlineLevel="0" collapsed="false">
      <c r="A16" s="6" t="s">
        <v>252</v>
      </c>
      <c r="B16" s="91" t="s">
        <v>276</v>
      </c>
      <c r="C16" s="92" t="s">
        <v>277</v>
      </c>
      <c r="D16" s="93" t="s">
        <v>278</v>
      </c>
      <c r="E16" s="39" t="s">
        <v>279</v>
      </c>
    </row>
    <row r="17" customFormat="false" ht="18" hidden="false" customHeight="true" outlineLevel="0" collapsed="false">
      <c r="A17" s="6" t="s">
        <v>280</v>
      </c>
      <c r="B17" s="94" t="s">
        <v>281</v>
      </c>
      <c r="C17" s="95" t="s">
        <v>282</v>
      </c>
      <c r="D17" s="96" t="s">
        <v>278</v>
      </c>
      <c r="E17" s="39" t="s">
        <v>283</v>
      </c>
    </row>
    <row r="18" customFormat="false" ht="18" hidden="false" customHeight="true" outlineLevel="0" collapsed="false">
      <c r="A18" s="6" t="s">
        <v>284</v>
      </c>
      <c r="B18" s="94" t="s">
        <v>285</v>
      </c>
      <c r="C18" s="95" t="s">
        <v>286</v>
      </c>
      <c r="D18" s="96" t="s">
        <v>287</v>
      </c>
      <c r="E18" s="39" t="s">
        <v>288</v>
      </c>
    </row>
    <row r="19" customFormat="false" ht="18" hidden="false" customHeight="true" outlineLevel="0" collapsed="false">
      <c r="A19" s="6" t="s">
        <v>289</v>
      </c>
      <c r="B19" s="91" t="s">
        <v>290</v>
      </c>
      <c r="C19" s="92" t="s">
        <v>291</v>
      </c>
      <c r="D19" s="93" t="s">
        <v>292</v>
      </c>
      <c r="E19" s="39" t="s">
        <v>293</v>
      </c>
    </row>
    <row r="25" customFormat="false" ht="21.75" hidden="false" customHeight="true" outlineLevel="0" collapsed="false">
      <c r="A25" s="4" t="s">
        <v>294</v>
      </c>
      <c r="B25" s="4"/>
      <c r="C25" s="4"/>
      <c r="D25" s="4"/>
      <c r="E25" s="4"/>
    </row>
    <row r="26" customFormat="false" ht="18" hidden="false" customHeight="true" outlineLevel="0" collapsed="false">
      <c r="A26" s="13" t="s">
        <v>295</v>
      </c>
      <c r="B26" s="91" t="s">
        <v>296</v>
      </c>
      <c r="C26" s="92" t="s">
        <v>297</v>
      </c>
      <c r="D26" s="93" t="s">
        <v>298</v>
      </c>
      <c r="E26" s="97" t="s">
        <v>299</v>
      </c>
    </row>
    <row r="27" customFormat="false" ht="18" hidden="false" customHeight="true" outlineLevel="0" collapsed="false">
      <c r="A27" s="13" t="s">
        <v>300</v>
      </c>
      <c r="B27" s="91" t="s">
        <v>301</v>
      </c>
      <c r="C27" s="92" t="s">
        <v>302</v>
      </c>
      <c r="D27" s="93" t="s">
        <v>303</v>
      </c>
      <c r="E27" s="97" t="s">
        <v>304</v>
      </c>
    </row>
    <row r="28" customFormat="false" ht="18" hidden="false" customHeight="true" outlineLevel="0" collapsed="false">
      <c r="A28" s="13" t="s">
        <v>305</v>
      </c>
      <c r="B28" s="91" t="s">
        <v>306</v>
      </c>
      <c r="C28" s="92" t="s">
        <v>307</v>
      </c>
      <c r="D28" s="93" t="s">
        <v>308</v>
      </c>
      <c r="E28" s="97" t="s">
        <v>309</v>
      </c>
    </row>
    <row r="29" customFormat="false" ht="18" hidden="false" customHeight="true" outlineLevel="0" collapsed="false">
      <c r="A29" s="13" t="s">
        <v>310</v>
      </c>
      <c r="B29" s="91" t="s">
        <v>311</v>
      </c>
      <c r="C29" s="92" t="s">
        <v>312</v>
      </c>
      <c r="D29" s="93" t="s">
        <v>313</v>
      </c>
      <c r="E29" s="97" t="s">
        <v>314</v>
      </c>
    </row>
  </sheetData>
  <mergeCells count="4">
    <mergeCell ref="A1:E1"/>
    <mergeCell ref="A4:E4"/>
    <mergeCell ref="A13:E13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2026-03-31T14:57:32Z</dcterms:created>
  <dc:creator>openpyxl</dc:creator>
  <dc:description/>
  <dc:language>en-US</dc:language>
  <cp:lastModifiedBy/>
  <dcterms:modified xsi:type="dcterms:W3CDTF">2026-03-31T14:57:48Z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